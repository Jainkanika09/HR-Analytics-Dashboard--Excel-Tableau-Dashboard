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ducational\Data Analysis\Excel Dashboard done\HR Data Analysis - to do\"/>
    </mc:Choice>
  </mc:AlternateContent>
  <xr:revisionPtr revIDLastSave="0" documentId="13_ncr:1_{0314E4AB-12AA-4B46-88C0-45A52CFCFF2E}" xr6:coauthVersionLast="47" xr6:coauthVersionMax="47" xr10:uidLastSave="{00000000-0000-0000-0000-000000000000}"/>
  <bookViews>
    <workbookView xWindow="-110" yWindow="-110" windowWidth="19420" windowHeight="11500" firstSheet="7" activeTab="8" xr2:uid="{4A559B37-D7A8-448D-91D3-7F92E46297F4}"/>
  </bookViews>
  <sheets>
    <sheet name="Raw Data" sheetId="1" r:id="rId1"/>
    <sheet name="Job tittle wise salary" sheetId="12" r:id="rId2"/>
    <sheet name="Employee count bassed on DOJ" sheetId="9" r:id="rId3"/>
    <sheet name="Top 10 Employee leave balance" sheetId="7" r:id="rId4"/>
    <sheet name="Gender wise salary Distribution" sheetId="2" r:id="rId5"/>
    <sheet name="Top Earners" sheetId="3" r:id="rId6"/>
    <sheet name="Qualification vs Salary" sheetId="4" r:id="rId7"/>
    <sheet name="Sparkline chart" sheetId="13" r:id="rId8"/>
    <sheet name="HR Analysis Dashboard" sheetId="14" r:id="rId9"/>
  </sheets>
  <definedNames>
    <definedName name="_xlnm._FilterDatabase" localSheetId="0" hidden="1">'Raw Data'!$K$1:$K$162</definedName>
    <definedName name="_xlchart.v1.0" hidden="1">'Job tittle wise salary'!$A$2:$A$162</definedName>
    <definedName name="_xlchart.v1.1" hidden="1">'Job tittle wise salary'!$B$1</definedName>
    <definedName name="_xlchart.v1.2" hidden="1">'Job tittle wise salary'!$B$2:$B$162</definedName>
    <definedName name="_xlchart.v1.3" hidden="1">'Job tittle wise salary'!$A$2:$A$162</definedName>
    <definedName name="_xlchart.v1.4" hidden="1">'Job tittle wise salary'!$B$1</definedName>
    <definedName name="_xlchart.v1.5" hidden="1">'Job tittle wise salary'!$B$2:$B$162</definedName>
    <definedName name="NativeTimeline_Date_of_Join">#N/A</definedName>
    <definedName name="Slicer_Education_Qualification">#N/A</definedName>
    <definedName name="Slicer_Gender">#N/A</definedName>
    <definedName name="Slicer_Job_Title">#N/A</definedName>
    <definedName name="Slicer_Nam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13" l="1"/>
  <c r="F16" i="13"/>
  <c r="B16" i="13"/>
  <c r="H16" i="13"/>
  <c r="G16" i="13"/>
  <c r="M15" i="1"/>
  <c r="M11" i="1"/>
  <c r="M7" i="1"/>
  <c r="E16" i="13"/>
  <c r="D16" i="13"/>
  <c r="K48" i="1"/>
  <c r="K160" i="1"/>
  <c r="K15" i="1"/>
  <c r="K67" i="1"/>
  <c r="K75" i="1"/>
  <c r="K46" i="1"/>
  <c r="K110" i="1"/>
  <c r="K134" i="1"/>
  <c r="K79" i="1"/>
  <c r="K84" i="1"/>
  <c r="K123" i="1"/>
  <c r="K142" i="1"/>
  <c r="K92" i="1"/>
  <c r="K88" i="1"/>
  <c r="K89" i="1"/>
  <c r="K85" i="1"/>
  <c r="K16" i="1"/>
  <c r="K53" i="1"/>
  <c r="K78" i="1"/>
  <c r="K76" i="1"/>
  <c r="K112" i="1"/>
  <c r="K49" i="1"/>
  <c r="K106" i="1"/>
  <c r="K81" i="1"/>
  <c r="K77" i="1"/>
  <c r="K17" i="1"/>
  <c r="K58" i="1"/>
  <c r="K62" i="1"/>
  <c r="K104" i="1"/>
  <c r="K100" i="1"/>
  <c r="K60" i="1"/>
  <c r="K25" i="1"/>
  <c r="K26" i="1"/>
  <c r="K149" i="1"/>
  <c r="K130" i="1"/>
  <c r="K95" i="1"/>
  <c r="K83" i="1"/>
  <c r="K57" i="1"/>
  <c r="K38" i="1"/>
  <c r="K159" i="1"/>
  <c r="K71" i="1"/>
  <c r="K99" i="1"/>
  <c r="K98" i="1"/>
  <c r="K96" i="1"/>
  <c r="K73" i="1"/>
  <c r="K105" i="1"/>
  <c r="K139" i="1"/>
  <c r="K66" i="1"/>
  <c r="K31" i="1"/>
  <c r="K129" i="1"/>
  <c r="K94" i="1"/>
  <c r="K4" i="1"/>
  <c r="K137" i="1"/>
  <c r="K146" i="1"/>
  <c r="K39" i="1"/>
  <c r="K35" i="1"/>
  <c r="K72" i="1"/>
  <c r="K97" i="1"/>
  <c r="K69" i="1"/>
  <c r="K152" i="1"/>
  <c r="K51" i="1"/>
  <c r="K119" i="1"/>
  <c r="K131" i="1"/>
  <c r="K24" i="1"/>
  <c r="K37" i="1"/>
  <c r="K143" i="1"/>
  <c r="K147" i="1"/>
  <c r="K82" i="1"/>
  <c r="K33" i="1"/>
  <c r="K55" i="1"/>
  <c r="K63" i="1"/>
  <c r="K121" i="1"/>
  <c r="K56" i="1"/>
  <c r="K36" i="1"/>
  <c r="K107" i="1"/>
  <c r="K61" i="1"/>
  <c r="K50" i="1"/>
  <c r="K41" i="1"/>
  <c r="K13" i="1"/>
  <c r="K28" i="1"/>
  <c r="K109" i="1"/>
  <c r="K34" i="1"/>
  <c r="K128" i="1"/>
  <c r="K87" i="1"/>
  <c r="K144" i="1"/>
  <c r="K102" i="1"/>
  <c r="K114" i="1"/>
  <c r="K111" i="1"/>
  <c r="K30" i="1"/>
  <c r="K157" i="1"/>
  <c r="K45" i="1"/>
  <c r="K162" i="1"/>
  <c r="K80" i="1"/>
  <c r="K21" i="1"/>
  <c r="K117" i="1"/>
  <c r="K29" i="1"/>
  <c r="K156" i="1"/>
  <c r="K5" i="1"/>
  <c r="K20" i="1"/>
  <c r="K120" i="1"/>
  <c r="K151" i="1"/>
  <c r="K14" i="1"/>
  <c r="K44" i="1"/>
  <c r="K108" i="1"/>
  <c r="K124" i="1"/>
  <c r="K59" i="1"/>
  <c r="K116" i="1"/>
  <c r="K150" i="1"/>
  <c r="K47" i="1"/>
  <c r="K125" i="1"/>
  <c r="K118" i="1"/>
  <c r="K22" i="1"/>
  <c r="K64" i="1"/>
  <c r="K154" i="1"/>
  <c r="K18" i="1"/>
  <c r="K52" i="1"/>
  <c r="K122" i="1"/>
  <c r="K148" i="1"/>
  <c r="K133" i="1"/>
  <c r="K91" i="1"/>
  <c r="K9" i="1"/>
  <c r="K93" i="1"/>
  <c r="K127" i="1"/>
  <c r="K8" i="1"/>
  <c r="K103" i="1"/>
  <c r="K7" i="1"/>
  <c r="K42" i="1"/>
  <c r="K6" i="1"/>
  <c r="K158" i="1"/>
  <c r="K40" i="1"/>
  <c r="K115" i="1"/>
  <c r="K126" i="1"/>
  <c r="K68" i="1"/>
  <c r="K135" i="1"/>
  <c r="K70" i="1"/>
  <c r="K19" i="1"/>
  <c r="K27" i="1"/>
  <c r="K153" i="1"/>
  <c r="K161" i="1"/>
  <c r="K11" i="1"/>
  <c r="K136" i="1"/>
  <c r="K155" i="1"/>
  <c r="K54" i="1"/>
  <c r="K138" i="1"/>
  <c r="K12" i="1"/>
  <c r="K90" i="1"/>
  <c r="K86" i="1"/>
  <c r="K43" i="1"/>
  <c r="K101" i="1"/>
  <c r="K145" i="1"/>
  <c r="K23" i="1"/>
  <c r="K141" i="1"/>
  <c r="K32" i="1"/>
  <c r="K74" i="1"/>
  <c r="K113" i="1"/>
  <c r="K10" i="1"/>
  <c r="K132" i="1"/>
  <c r="K140" i="1"/>
  <c r="K65" i="1"/>
</calcChain>
</file>

<file path=xl/sharedStrings.xml><?xml version="1.0" encoding="utf-8"?>
<sst xmlns="http://schemas.openxmlformats.org/spreadsheetml/2006/main" count="1058" uniqueCount="365">
  <si>
    <t>Name</t>
  </si>
  <si>
    <t>Emp ID</t>
  </si>
  <si>
    <t>Gender</t>
  </si>
  <si>
    <t>Education Qualification</t>
  </si>
  <si>
    <t>Date of Join</t>
  </si>
  <si>
    <t>Job Title</t>
  </si>
  <si>
    <t>Salary</t>
  </si>
  <si>
    <t>Age</t>
  </si>
  <si>
    <t>Leave Balance</t>
  </si>
  <si>
    <t>Barr Faughny</t>
  </si>
  <si>
    <t>AC0001</t>
  </si>
  <si>
    <t>Male</t>
  </si>
  <si>
    <t>Bachelor's Degree</t>
  </si>
  <si>
    <t>Chocolatier</t>
  </si>
  <si>
    <t>Dennison Crosswaite</t>
  </si>
  <si>
    <t>AC0002</t>
  </si>
  <si>
    <t>Female</t>
  </si>
  <si>
    <t>Diploma</t>
  </si>
  <si>
    <t>Production Operator</t>
  </si>
  <si>
    <t>Gunar Cockshoot</t>
  </si>
  <si>
    <t>AC0003</t>
  </si>
  <si>
    <t>High School Diploma</t>
  </si>
  <si>
    <t>Packaging Associate</t>
  </si>
  <si>
    <t>Wilone O'Kielt</t>
  </si>
  <si>
    <t>AC0004</t>
  </si>
  <si>
    <t>Marketing Specialist</t>
  </si>
  <si>
    <t>Gigi Bohling</t>
  </si>
  <si>
    <t>AC0005</t>
  </si>
  <si>
    <t>Advait Kumar</t>
  </si>
  <si>
    <t>Master's Degree</t>
  </si>
  <si>
    <t>Research Scientist</t>
  </si>
  <si>
    <t>Curtice Advani</t>
  </si>
  <si>
    <t>AC0006</t>
  </si>
  <si>
    <t>Sales Representative</t>
  </si>
  <si>
    <t>Kaine Padly</t>
  </si>
  <si>
    <t>AC0007</t>
  </si>
  <si>
    <t>Ches Bonnell</t>
  </si>
  <si>
    <t>AC0008</t>
  </si>
  <si>
    <t>Zara Mishra</t>
  </si>
  <si>
    <t>Quality Control</t>
  </si>
  <si>
    <t>Andria Kimpton</t>
  </si>
  <si>
    <t>AC0009</t>
  </si>
  <si>
    <t>Research Analyst</t>
  </si>
  <si>
    <t>Brien Boise</t>
  </si>
  <si>
    <t>AC0010</t>
  </si>
  <si>
    <t>Product Manager</t>
  </si>
  <si>
    <t>Husein Augar</t>
  </si>
  <si>
    <t>AC0011</t>
  </si>
  <si>
    <t>Karlen McCaffrey</t>
  </si>
  <si>
    <t>AC0012</t>
  </si>
  <si>
    <t>Jan Morforth</t>
  </si>
  <si>
    <t>AC0013</t>
  </si>
  <si>
    <t>Kabir Kapoor</t>
  </si>
  <si>
    <t>Dotty Strutley</t>
  </si>
  <si>
    <t>AC0014</t>
  </si>
  <si>
    <t>Anika Joshi</t>
  </si>
  <si>
    <t>Marketing Manager</t>
  </si>
  <si>
    <t>Kelci Walkden</t>
  </si>
  <si>
    <t>AC0015</t>
  </si>
  <si>
    <t>Marney O'Breen</t>
  </si>
  <si>
    <t>AC0016</t>
  </si>
  <si>
    <t>Rafaelita Blaksland</t>
  </si>
  <si>
    <t>AC0017</t>
  </si>
  <si>
    <t>Madelene Upcott</t>
  </si>
  <si>
    <t>AC0018</t>
  </si>
  <si>
    <t>Beverie Moffet</t>
  </si>
  <si>
    <t>AC0019</t>
  </si>
  <si>
    <t>Oby Sorrel</t>
  </si>
  <si>
    <t>AC0020</t>
  </si>
  <si>
    <t>Mallorie Waber</t>
  </si>
  <si>
    <t>AC0021</t>
  </si>
  <si>
    <t>Jehu Rudeforth</t>
  </si>
  <si>
    <t>AC0022</t>
  </si>
  <si>
    <t>Van Tuxwell</t>
  </si>
  <si>
    <t>AC0023</t>
  </si>
  <si>
    <t>Roddy Speechley</t>
  </si>
  <si>
    <t>AC0024</t>
  </si>
  <si>
    <t>Camilla Castle</t>
  </si>
  <si>
    <t>AC0025</t>
  </si>
  <si>
    <t>Janene Hairsine</t>
  </si>
  <si>
    <t>AC0026</t>
  </si>
  <si>
    <t>Niall Selesnick</t>
  </si>
  <si>
    <t>AC0027</t>
  </si>
  <si>
    <t>Ebonee Roxburgh</t>
  </si>
  <si>
    <t>AC0028</t>
  </si>
  <si>
    <t>Zach Polon</t>
  </si>
  <si>
    <t>AC0029</t>
  </si>
  <si>
    <t>Orton Livick</t>
  </si>
  <si>
    <t>AC0030</t>
  </si>
  <si>
    <t>Gray Seamon</t>
  </si>
  <si>
    <t>AC0031</t>
  </si>
  <si>
    <t>Benny Karolovsky</t>
  </si>
  <si>
    <t>AC0032</t>
  </si>
  <si>
    <t>Dyna Doucette</t>
  </si>
  <si>
    <t>AC0033</t>
  </si>
  <si>
    <t>Erin Androsik</t>
  </si>
  <si>
    <t>AC0034</t>
  </si>
  <si>
    <t>Madge McCloughen</t>
  </si>
  <si>
    <t>AC0035</t>
  </si>
  <si>
    <t>Esmaria Denecamp</t>
  </si>
  <si>
    <t>AC0036</t>
  </si>
  <si>
    <t>Hogan Iles</t>
  </si>
  <si>
    <t>AC0037</t>
  </si>
  <si>
    <t>Valentia Etteridge</t>
  </si>
  <si>
    <t>AC0038</t>
  </si>
  <si>
    <t>Archibald Filliskirk</t>
  </si>
  <si>
    <t>AC0039</t>
  </si>
  <si>
    <t>Lindy Guillet</t>
  </si>
  <si>
    <t>AC0040</t>
  </si>
  <si>
    <t>Dell Molloy</t>
  </si>
  <si>
    <t>AC0041</t>
  </si>
  <si>
    <t>Siya Trivedi</t>
  </si>
  <si>
    <t>Ewart Laphorn</t>
  </si>
  <si>
    <t>AC0042</t>
  </si>
  <si>
    <t>Vic Radolf</t>
  </si>
  <si>
    <t>AC0043</t>
  </si>
  <si>
    <t>Virginia McConville</t>
  </si>
  <si>
    <t>AC0044</t>
  </si>
  <si>
    <t>Kaye Crocroft</t>
  </si>
  <si>
    <t>AC0045</t>
  </si>
  <si>
    <t>Mollie Hanway</t>
  </si>
  <si>
    <t>AC0046</t>
  </si>
  <si>
    <t>Hoyt D'Alesco</t>
  </si>
  <si>
    <t>AC0047</t>
  </si>
  <si>
    <t>Crissie Cordel</t>
  </si>
  <si>
    <t>AC0048</t>
  </si>
  <si>
    <t>Myer McCory</t>
  </si>
  <si>
    <t>AC0049</t>
  </si>
  <si>
    <t>Enoch Dowrey</t>
  </si>
  <si>
    <t>AC0050</t>
  </si>
  <si>
    <t>Kissiah Maydway</t>
  </si>
  <si>
    <t>AC0051</t>
  </si>
  <si>
    <t>Ambros Murthwaite</t>
  </si>
  <si>
    <t>AC0052</t>
  </si>
  <si>
    <t>Torrance Collier</t>
  </si>
  <si>
    <t>AC0053</t>
  </si>
  <si>
    <t>Allene Gobbet</t>
  </si>
  <si>
    <t>AC0054</t>
  </si>
  <si>
    <t>Violante Courtonne</t>
  </si>
  <si>
    <t>AC0055</t>
  </si>
  <si>
    <t>Merrilee Plenty</t>
  </si>
  <si>
    <t>AC0056</t>
  </si>
  <si>
    <t>Krish Rawat</t>
  </si>
  <si>
    <t>Tatum Hush</t>
  </si>
  <si>
    <t>AC0057</t>
  </si>
  <si>
    <t>Kath Bletsoe</t>
  </si>
  <si>
    <t>AC0058</t>
  </si>
  <si>
    <t>Hinda Label</t>
  </si>
  <si>
    <t>AC0059</t>
  </si>
  <si>
    <t>Shari McNee</t>
  </si>
  <si>
    <t>AC0060</t>
  </si>
  <si>
    <t>Avani Malhotra</t>
  </si>
  <si>
    <t>My Hanscome</t>
  </si>
  <si>
    <t>AC0061</t>
  </si>
  <si>
    <t>Drusy MacCombe</t>
  </si>
  <si>
    <t>AC0062</t>
  </si>
  <si>
    <t>Aarav Shah</t>
  </si>
  <si>
    <t>Halimeda Kuscha</t>
  </si>
  <si>
    <t>AC0063</t>
  </si>
  <si>
    <t>William Reeveley</t>
  </si>
  <si>
    <t>AC0064</t>
  </si>
  <si>
    <t>Tracy Renad</t>
  </si>
  <si>
    <t>AC0065</t>
  </si>
  <si>
    <t>Kassi Jonson</t>
  </si>
  <si>
    <t>AC0066</t>
  </si>
  <si>
    <t>Constantino Espley</t>
  </si>
  <si>
    <t>AC0067</t>
  </si>
  <si>
    <t>AC0068</t>
  </si>
  <si>
    <t>Anaya Agarwal</t>
  </si>
  <si>
    <t>Gretchen Callow</t>
  </si>
  <si>
    <t>AC0069</t>
  </si>
  <si>
    <t>Bev Lashley</t>
  </si>
  <si>
    <t>AC0070</t>
  </si>
  <si>
    <t>Sibyl Dunkirk</t>
  </si>
  <si>
    <t>AC0071</t>
  </si>
  <si>
    <t>Trio Lipa</t>
  </si>
  <si>
    <t>AC0072</t>
  </si>
  <si>
    <t>Shayne Stegel</t>
  </si>
  <si>
    <t>AC0073</t>
  </si>
  <si>
    <t>Hyacinthie Braybrooke</t>
  </si>
  <si>
    <t>AC0074</t>
  </si>
  <si>
    <t>Agnes Collicott</t>
  </si>
  <si>
    <t>AC0075</t>
  </si>
  <si>
    <t>Teressa Udden</t>
  </si>
  <si>
    <t>AC0076</t>
  </si>
  <si>
    <t>Bennie Pepis</t>
  </si>
  <si>
    <t>AC0077</t>
  </si>
  <si>
    <t>Elia Cockton</t>
  </si>
  <si>
    <t>AC0078</t>
  </si>
  <si>
    <t>A R Rahadude</t>
  </si>
  <si>
    <t>AC0079</t>
  </si>
  <si>
    <t>Murry Dryburgh</t>
  </si>
  <si>
    <t>AC0080</t>
  </si>
  <si>
    <t>Reyansh Malhotra</t>
  </si>
  <si>
    <t>Mahalia Larcher</t>
  </si>
  <si>
    <t>AC0081</t>
  </si>
  <si>
    <t>Bili Sizey</t>
  </si>
  <si>
    <t>AC0082</t>
  </si>
  <si>
    <t>Lilyan Klimpt</t>
  </si>
  <si>
    <t>AC0083</t>
  </si>
  <si>
    <t>Almond Joy</t>
  </si>
  <si>
    <t>AC0084</t>
  </si>
  <si>
    <t>Leilah Yesinin</t>
  </si>
  <si>
    <t>AC0085</t>
  </si>
  <si>
    <t>Collin Jagson</t>
  </si>
  <si>
    <t>AC0086</t>
  </si>
  <si>
    <t>Kellsie Waby</t>
  </si>
  <si>
    <t>AC0087</t>
  </si>
  <si>
    <t>Simon Kembery</t>
  </si>
  <si>
    <t>AC0088</t>
  </si>
  <si>
    <t>Tawnya Tickel</t>
  </si>
  <si>
    <t>AC0089</t>
  </si>
  <si>
    <t>Bernie Gorges</t>
  </si>
  <si>
    <t>AC0090</t>
  </si>
  <si>
    <t>Florinda Crace</t>
  </si>
  <si>
    <t>AC0091</t>
  </si>
  <si>
    <t>Oran Buxcy</t>
  </si>
  <si>
    <t>AC0092</t>
  </si>
  <si>
    <t>Anvi Verma</t>
  </si>
  <si>
    <t>AC0093</t>
  </si>
  <si>
    <t>AC0094</t>
  </si>
  <si>
    <t>Dev Joshi</t>
  </si>
  <si>
    <t>AC0095</t>
  </si>
  <si>
    <t>Pari Sharma</t>
  </si>
  <si>
    <t>AC0096</t>
  </si>
  <si>
    <t>Aanya Kapoor</t>
  </si>
  <si>
    <t>AC0097</t>
  </si>
  <si>
    <t>Kiara Choudhary</t>
  </si>
  <si>
    <t>AC0098</t>
  </si>
  <si>
    <t>Reyansh Iyer</t>
  </si>
  <si>
    <t>AC0099</t>
  </si>
  <si>
    <t>Samaira Agarwal</t>
  </si>
  <si>
    <t>AC0100</t>
  </si>
  <si>
    <t>AC0101</t>
  </si>
  <si>
    <t>Kiaan Rana</t>
  </si>
  <si>
    <t>AC0102</t>
  </si>
  <si>
    <t>AC0103</t>
  </si>
  <si>
    <t>Anaya Gupta</t>
  </si>
  <si>
    <t>AC0104</t>
  </si>
  <si>
    <t>Munch Munch</t>
  </si>
  <si>
    <t>AC0105</t>
  </si>
  <si>
    <t>AC0106</t>
  </si>
  <si>
    <t>AC0107</t>
  </si>
  <si>
    <t>Rhea Saxena</t>
  </si>
  <si>
    <t>AC0108</t>
  </si>
  <si>
    <t>Advait Sharma</t>
  </si>
  <si>
    <t>AC0109</t>
  </si>
  <si>
    <t>Aarush Mishra</t>
  </si>
  <si>
    <t>AC0110</t>
  </si>
  <si>
    <t>Anika Chawla</t>
  </si>
  <si>
    <t>AC0111</t>
  </si>
  <si>
    <t>Zara Verma</t>
  </si>
  <si>
    <t>AC0112</t>
  </si>
  <si>
    <t>Dev Agarwal</t>
  </si>
  <si>
    <t>AC0113</t>
  </si>
  <si>
    <t>Pari Kumar</t>
  </si>
  <si>
    <t>AC0114</t>
  </si>
  <si>
    <t>Aanya Singh</t>
  </si>
  <si>
    <t>AC0115</t>
  </si>
  <si>
    <t>Kiara Joshi</t>
  </si>
  <si>
    <t>AC0116</t>
  </si>
  <si>
    <t>AC0117</t>
  </si>
  <si>
    <t>M&amp;M Peanut</t>
  </si>
  <si>
    <t>AC0118</t>
  </si>
  <si>
    <t>Avani Agarwal</t>
  </si>
  <si>
    <t>AC0119</t>
  </si>
  <si>
    <t>Nestle Crunch</t>
  </si>
  <si>
    <t>AC0120</t>
  </si>
  <si>
    <t>Aarav Verma</t>
  </si>
  <si>
    <t>AC0121</t>
  </si>
  <si>
    <t>Anaya Choudhary</t>
  </si>
  <si>
    <t>AC0122</t>
  </si>
  <si>
    <t>Krish Trivedi</t>
  </si>
  <si>
    <t>AC0123</t>
  </si>
  <si>
    <t>Siya Rawat</t>
  </si>
  <si>
    <t>AC0124</t>
  </si>
  <si>
    <t>Kabir Shah</t>
  </si>
  <si>
    <t>AC0125</t>
  </si>
  <si>
    <t>Rhea Bhatia</t>
  </si>
  <si>
    <t>AC0126</t>
  </si>
  <si>
    <t>AC0127</t>
  </si>
  <si>
    <t>Aarush Verma</t>
  </si>
  <si>
    <t>AC0128</t>
  </si>
  <si>
    <t>Anika Singh</t>
  </si>
  <si>
    <t>AC0129</t>
  </si>
  <si>
    <t>Zara Chawla</t>
  </si>
  <si>
    <t>AC0130</t>
  </si>
  <si>
    <t>AC0131</t>
  </si>
  <si>
    <t>Pari Gupta</t>
  </si>
  <si>
    <t>AC0132</t>
  </si>
  <si>
    <t>Aanya Trivedi</t>
  </si>
  <si>
    <t>AC0133</t>
  </si>
  <si>
    <t>Kiara Bhatia</t>
  </si>
  <si>
    <t>AC0134</t>
  </si>
  <si>
    <t>Reyansh Rana</t>
  </si>
  <si>
    <t>AC0135</t>
  </si>
  <si>
    <t>Lindt Truffle</t>
  </si>
  <si>
    <t>AC0136</t>
  </si>
  <si>
    <t>Avani Iyer</t>
  </si>
  <si>
    <t>AC0137</t>
  </si>
  <si>
    <t>Kiaan Shah</t>
  </si>
  <si>
    <t>AC0138</t>
  </si>
  <si>
    <t>Oreo Delight</t>
  </si>
  <si>
    <t>AC0139</t>
  </si>
  <si>
    <t>AC0140</t>
  </si>
  <si>
    <t>AC0141</t>
  </si>
  <si>
    <t>Siya Sharma</t>
  </si>
  <si>
    <t>AC0142</t>
  </si>
  <si>
    <t>Kabir Trivedi</t>
  </si>
  <si>
    <t>AC0143</t>
  </si>
  <si>
    <t>Rhea Malhotra</t>
  </si>
  <si>
    <t>AC0144</t>
  </si>
  <si>
    <t>Advait Kapoor</t>
  </si>
  <si>
    <t>AC0145</t>
  </si>
  <si>
    <t>Zagnut Nut</t>
  </si>
  <si>
    <t>AC0146</t>
  </si>
  <si>
    <t>AC0147</t>
  </si>
  <si>
    <t>AC0148</t>
  </si>
  <si>
    <t>Dev Chawla</t>
  </si>
  <si>
    <t>AC0149</t>
  </si>
  <si>
    <t>AC0150</t>
  </si>
  <si>
    <t>AC0151</t>
  </si>
  <si>
    <t>AC0152</t>
  </si>
  <si>
    <t>AC0153</t>
  </si>
  <si>
    <t>Eltin John</t>
  </si>
  <si>
    <t>AC0154</t>
  </si>
  <si>
    <t>AC0155</t>
  </si>
  <si>
    <t>AC0156</t>
  </si>
  <si>
    <t>Michael Walkson</t>
  </si>
  <si>
    <t>AC0157</t>
  </si>
  <si>
    <t>AC0158</t>
  </si>
  <si>
    <t>AC0159</t>
  </si>
  <si>
    <t>AC0160</t>
  </si>
  <si>
    <t>AC0161</t>
  </si>
  <si>
    <t>S.no</t>
  </si>
  <si>
    <t>Row Labels</t>
  </si>
  <si>
    <t>Grand Total</t>
  </si>
  <si>
    <t>Sum of S.no</t>
  </si>
  <si>
    <t>Sum of Salary</t>
  </si>
  <si>
    <t>Sum of Leave Balance</t>
  </si>
  <si>
    <t>2017</t>
  </si>
  <si>
    <t>2018</t>
  </si>
  <si>
    <t>2019</t>
  </si>
  <si>
    <t>2020</t>
  </si>
  <si>
    <t>2021</t>
  </si>
  <si>
    <t>2022</t>
  </si>
  <si>
    <t>2023</t>
  </si>
  <si>
    <t>Count of Emp ID</t>
  </si>
  <si>
    <t>&lt;11-04-2017</t>
  </si>
  <si>
    <t>Employee count</t>
  </si>
  <si>
    <t>Total Salary</t>
  </si>
  <si>
    <t>Average Age</t>
  </si>
  <si>
    <t>Min salary</t>
  </si>
  <si>
    <t>Max Salary</t>
  </si>
  <si>
    <t>Average salary</t>
  </si>
  <si>
    <t xml:space="preserve"> Leave Balance</t>
  </si>
  <si>
    <t>Max of Salary</t>
  </si>
  <si>
    <t>Average Salary</t>
  </si>
  <si>
    <t>Min Salary</t>
  </si>
  <si>
    <t>HR Analysis Dashboard</t>
  </si>
  <si>
    <t>Average of Salary</t>
  </si>
  <si>
    <t>Min of Salary</t>
  </si>
  <si>
    <t>Max  Salary</t>
  </si>
  <si>
    <t>Leave Distribution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</si>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</sst>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 #,##0"/>
    <numFmt numFmtId="166" formatCode="[$$-C09]#,##0"/>
    <numFmt numFmtId="167" formatCode="&quot;₹&quot;\ #,##0;[Red]&quot;₹&quot;\ #,##0"/>
    <numFmt numFmtId="168" formatCode="[$₹-439]#,##0"/>
    <numFmt numFmtId="169" formatCode="[$₹-439]#,##0.00"/>
  </numFmts>
  <fonts count="5" x14ac:knownFonts="1">
    <font>
      <sz val="14"/>
      <color theme="1"/>
      <name val="Calibri"/>
      <family val="2"/>
      <scheme val="minor"/>
    </font>
    <font>
      <b/>
      <sz val="14"/>
      <name val="Calibri"/>
      <family val="2"/>
      <scheme val="minor"/>
    </font>
    <font>
      <sz val="14"/>
      <name val="Calibri"/>
      <family val="2"/>
      <scheme val="minor"/>
    </font>
    <font>
      <sz val="36"/>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0"/>
        <bgColor theme="4" tint="0.79998168889431442"/>
      </patternFill>
    </fill>
    <fill>
      <patternFill patternType="solid">
        <fgColor theme="2"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2" fillId="0" borderId="0" xfId="0" applyFont="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1" xfId="0" applyBorder="1"/>
    <xf numFmtId="15" fontId="0" fillId="0" borderId="1" xfId="0" applyNumberFormat="1" applyBorder="1"/>
    <xf numFmtId="0" fontId="0" fillId="0" borderId="6" xfId="0" applyBorder="1"/>
    <xf numFmtId="0" fontId="0" fillId="0" borderId="7" xfId="0" applyBorder="1"/>
    <xf numFmtId="0" fontId="0" fillId="0" borderId="8" xfId="0" applyBorder="1"/>
    <xf numFmtId="15"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5" fontId="0" fillId="0" borderId="0" xfId="0" applyNumberFormat="1"/>
    <xf numFmtId="0" fontId="0" fillId="3" borderId="1" xfId="0" applyFill="1" applyBorder="1"/>
    <xf numFmtId="165" fontId="0" fillId="3" borderId="1" xfId="0" applyNumberFormat="1" applyFill="1" applyBorder="1"/>
    <xf numFmtId="165" fontId="0" fillId="0" borderId="8" xfId="0" applyNumberFormat="1" applyBorder="1"/>
    <xf numFmtId="0" fontId="0" fillId="2" borderId="0" xfId="0" applyFill="1"/>
    <xf numFmtId="0" fontId="4" fillId="4" borderId="0" xfId="0" applyFont="1" applyFill="1"/>
    <xf numFmtId="0" fontId="0" fillId="0" borderId="0" xfId="0" applyAlignment="1">
      <alignment horizontal="center" vertical="center"/>
    </xf>
    <xf numFmtId="1" fontId="0" fillId="0" borderId="0" xfId="0" applyNumberFormat="1" applyAlignment="1">
      <alignment horizontal="center" vertical="center"/>
    </xf>
    <xf numFmtId="166" fontId="0" fillId="0" borderId="0" xfId="0" applyNumberFormat="1"/>
    <xf numFmtId="166" fontId="0" fillId="0" borderId="0" xfId="0" applyNumberFormat="1" applyAlignment="1">
      <alignment horizontal="center" vertical="center"/>
    </xf>
    <xf numFmtId="167" fontId="0" fillId="0" borderId="1" xfId="0" applyNumberFormat="1" applyBorder="1"/>
    <xf numFmtId="167" fontId="0" fillId="0" borderId="8" xfId="0" applyNumberFormat="1" applyBorder="1"/>
    <xf numFmtId="167" fontId="0" fillId="0" borderId="0" xfId="0" applyNumberFormat="1"/>
    <xf numFmtId="168" fontId="0" fillId="0" borderId="0" xfId="0" applyNumberFormat="1"/>
    <xf numFmtId="169" fontId="0" fillId="0" borderId="0" xfId="0" applyNumberFormat="1"/>
    <xf numFmtId="168" fontId="0" fillId="0" borderId="0" xfId="0" applyNumberFormat="1" applyAlignment="1">
      <alignment horizontal="center" vertical="center"/>
    </xf>
    <xf numFmtId="0" fontId="1" fillId="2" borderId="0" xfId="0" applyFont="1" applyFill="1"/>
    <xf numFmtId="0" fontId="3" fillId="5" borderId="10" xfId="0" applyFont="1"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0" fillId="0" borderId="0" xfId="0" applyNumberFormat="1"/>
  </cellXfs>
  <cellStyles count="1">
    <cellStyle name="Normal" xfId="0" builtinId="0"/>
  </cellStyles>
  <dxfs count="67">
    <dxf>
      <numFmt numFmtId="168" formatCode="[$₹-439]#,##0"/>
    </dxf>
    <dxf>
      <numFmt numFmtId="168" formatCode="[$₹-439]#,##0"/>
    </dxf>
    <dxf>
      <numFmt numFmtId="168" formatCode="[$₹-439]#,##0"/>
    </dxf>
    <dxf>
      <numFmt numFmtId="168" formatCode="[$₹-439]#,##0"/>
    </dxf>
    <dxf>
      <numFmt numFmtId="168" formatCode="[$₹-439]#,##0"/>
    </dxf>
    <dxf>
      <numFmt numFmtId="168" formatCode="[$₹-439]#,##0"/>
    </dxf>
    <dxf>
      <numFmt numFmtId="168" formatCode="[$₹-439]#,##0"/>
    </dxf>
    <dxf>
      <numFmt numFmtId="168" formatCode="[$₹-439]#,##0"/>
    </dxf>
    <dxf>
      <numFmt numFmtId="169" formatCode="[$₹-439]#,##0.00"/>
    </dxf>
    <dxf>
      <numFmt numFmtId="168" formatCode="[$₹-439]#,##0"/>
    </dxf>
    <dxf>
      <numFmt numFmtId="168" formatCode="[$₹-439]#,##0"/>
    </dxf>
    <dxf>
      <numFmt numFmtId="168" formatCode="[$₹-439]#,##0"/>
    </dxf>
    <dxf>
      <numFmt numFmtId="168" formatCode="[$₹-439]#,##0"/>
    </dxf>
    <dxf>
      <numFmt numFmtId="168" formatCode="[$₹-439]#,##0"/>
    </dxf>
    <dxf>
      <numFmt numFmtId="168" formatCode="[$₹-439]#,##0"/>
    </dxf>
    <dxf>
      <numFmt numFmtId="168" formatCode="[$₹-439]#,##0"/>
    </dxf>
    <dxf>
      <numFmt numFmtId="168" formatCode="[$₹-439]#,##0"/>
    </dxf>
    <dxf>
      <numFmt numFmtId="168" formatCode="[$₹-439]#,##0"/>
    </dxf>
    <dxf>
      <numFmt numFmtId="166" formatCode="[$$-C09]#,##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quot;₹&quot;\ #,##0;[Red]&quot;₹&quot;\ #,##0"/>
    </dxf>
    <dxf>
      <numFmt numFmtId="167" formatCode="&quot;₹&quot;\ #,##0;[Red]&quot;₹&quot;\ #,##0"/>
    </dxf>
    <dxf>
      <numFmt numFmtId="165" formatCode="&quot;₹&quot;\ #,##0"/>
    </dxf>
    <dxf>
      <numFmt numFmtId="167" formatCode="&quot;₹&quot;\ #,##0;[Red]&quot;₹&quot;\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theme="2"/>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Red]&quot;₹&quot;\ #,##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theme="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Dashboard.xlsx]Employee count bassed on DOJ!PivotTable15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Employee</a:t>
            </a:r>
            <a:r>
              <a:rPr lang="en-US" baseline="0"/>
              <a:t> count bassed on DOJ</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count bassed on DOJ'!$B$3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'Employee count bassed on DOJ'!$A$4:$A$11</c:f>
              <c:strCache>
                <c:ptCount val="7"/>
                <c:pt idx="0">
                  <c:v>2017</c:v>
                </c:pt>
                <c:pt idx="1">
                  <c:v>2018</c:v>
                </c:pt>
                <c:pt idx="2">
                  <c:v>2019</c:v>
                </c:pt>
                <c:pt idx="3">
                  <c:v>2020</c:v>
                </c:pt>
                <c:pt idx="4">
                  <c:v>2021</c:v>
                </c:pt>
                <c:pt idx="5">
                  <c:v>2022</c:v>
                </c:pt>
                <c:pt idx="6">
                  <c:v>2023</c:v>
                </c:pt>
              </c:strCache>
            </c:strRef>
          </c:cat>
          <c:val>
            <c:numRef>
              <c:f>'Employee count bassed on DOJ'!$B$4:$B$11</c:f>
              <c:numCache>
                <c:formatCode>General</c:formatCode>
                <c:ptCount val="7"/>
                <c:pt idx="0">
                  <c:v>10</c:v>
                </c:pt>
                <c:pt idx="1">
                  <c:v>23</c:v>
                </c:pt>
                <c:pt idx="2">
                  <c:v>29</c:v>
                </c:pt>
                <c:pt idx="3">
                  <c:v>29</c:v>
                </c:pt>
                <c:pt idx="4">
                  <c:v>27</c:v>
                </c:pt>
                <c:pt idx="5">
                  <c:v>23</c:v>
                </c:pt>
                <c:pt idx="6">
                  <c:v>20</c:v>
                </c:pt>
              </c:numCache>
            </c:numRef>
          </c:val>
          <c:smooth val="0"/>
          <c:extLst>
            <c:ext xmlns:c16="http://schemas.microsoft.com/office/drawing/2014/chart" uri="{C3380CC4-5D6E-409C-BE32-E72D297353CC}">
              <c16:uniqueId val="{00000000-6C8C-4350-A443-19B7B59F56E7}"/>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97359088"/>
        <c:axId val="797343728"/>
      </c:lineChart>
      <c:catAx>
        <c:axId val="797359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97343728"/>
        <c:crosses val="autoZero"/>
        <c:auto val="1"/>
        <c:lblAlgn val="ctr"/>
        <c:lblOffset val="100"/>
        <c:noMultiLvlLbl val="0"/>
      </c:catAx>
      <c:valAx>
        <c:axId val="797343728"/>
        <c:scaling>
          <c:orientation val="minMax"/>
        </c:scaling>
        <c:delete val="1"/>
        <c:axPos val="l"/>
        <c:numFmt formatCode="General" sourceLinked="1"/>
        <c:majorTickMark val="out"/>
        <c:minorTickMark val="none"/>
        <c:tickLblPos val="nextTo"/>
        <c:crossAx val="79735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Dashboard.xlsx]Top 10 Employee leave balance!PivotTable12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Employee Leave Balance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Employee leave balance'!$B$3</c:f>
              <c:strCache>
                <c:ptCount val="1"/>
                <c:pt idx="0">
                  <c:v>Total</c:v>
                </c:pt>
              </c:strCache>
            </c:strRef>
          </c:tx>
          <c:spPr>
            <a:pattFill prst="ltUpDiag">
              <a:fgClr>
                <a:schemeClr val="accent1"/>
              </a:fgClr>
              <a:bgClr>
                <a:schemeClr val="lt1"/>
              </a:bgClr>
            </a:pattFill>
            <a:ln>
              <a:noFill/>
            </a:ln>
            <a:effectLst/>
          </c:spPr>
          <c:invertIfNegative val="0"/>
          <c:cat>
            <c:strRef>
              <c:f>'Top 10 Employee leave balance'!$A$4:$A$15</c:f>
              <c:strCache>
                <c:ptCount val="11"/>
                <c:pt idx="0">
                  <c:v>Aanya Singh</c:v>
                </c:pt>
                <c:pt idx="1">
                  <c:v>Advait Kapoor</c:v>
                </c:pt>
                <c:pt idx="2">
                  <c:v>Allene Gobbet</c:v>
                </c:pt>
                <c:pt idx="3">
                  <c:v>Avani Iyer</c:v>
                </c:pt>
                <c:pt idx="4">
                  <c:v>Dev Joshi</c:v>
                </c:pt>
                <c:pt idx="5">
                  <c:v>Kabir Trivedi</c:v>
                </c:pt>
                <c:pt idx="6">
                  <c:v>Kiaan Shah</c:v>
                </c:pt>
                <c:pt idx="7">
                  <c:v>Kiara Bhatia</c:v>
                </c:pt>
                <c:pt idx="8">
                  <c:v>Mollie Hanway</c:v>
                </c:pt>
                <c:pt idx="9">
                  <c:v>Reyansh Rana</c:v>
                </c:pt>
                <c:pt idx="10">
                  <c:v>Zara Verma</c:v>
                </c:pt>
              </c:strCache>
            </c:strRef>
          </c:cat>
          <c:val>
            <c:numRef>
              <c:f>'Top 10 Employee leave balance'!$B$4:$B$15</c:f>
              <c:numCache>
                <c:formatCode>General</c:formatCode>
                <c:ptCount val="11"/>
                <c:pt idx="0">
                  <c:v>30</c:v>
                </c:pt>
                <c:pt idx="1">
                  <c:v>37</c:v>
                </c:pt>
                <c:pt idx="2">
                  <c:v>30</c:v>
                </c:pt>
                <c:pt idx="3">
                  <c:v>38</c:v>
                </c:pt>
                <c:pt idx="4">
                  <c:v>31</c:v>
                </c:pt>
                <c:pt idx="5">
                  <c:v>31</c:v>
                </c:pt>
                <c:pt idx="6">
                  <c:v>39</c:v>
                </c:pt>
                <c:pt idx="7">
                  <c:v>38</c:v>
                </c:pt>
                <c:pt idx="8">
                  <c:v>35</c:v>
                </c:pt>
                <c:pt idx="9">
                  <c:v>34</c:v>
                </c:pt>
                <c:pt idx="10">
                  <c:v>33</c:v>
                </c:pt>
              </c:numCache>
            </c:numRef>
          </c:val>
          <c:extLst>
            <c:ext xmlns:c16="http://schemas.microsoft.com/office/drawing/2014/chart" uri="{C3380CC4-5D6E-409C-BE32-E72D297353CC}">
              <c16:uniqueId val="{00000000-5B7B-4FB6-8EB4-B4114BEA53C9}"/>
            </c:ext>
          </c:extLst>
        </c:ser>
        <c:dLbls>
          <c:showLegendKey val="0"/>
          <c:showVal val="0"/>
          <c:showCatName val="0"/>
          <c:showSerName val="0"/>
          <c:showPercent val="0"/>
          <c:showBubbleSize val="0"/>
        </c:dLbls>
        <c:gapWidth val="269"/>
        <c:overlap val="-20"/>
        <c:axId val="797340848"/>
        <c:axId val="797357648"/>
      </c:barChart>
      <c:catAx>
        <c:axId val="797340848"/>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97357648"/>
        <c:crosses val="autoZero"/>
        <c:auto val="1"/>
        <c:lblAlgn val="ctr"/>
        <c:lblOffset val="100"/>
        <c:noMultiLvlLbl val="0"/>
      </c:catAx>
      <c:valAx>
        <c:axId val="79735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73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Dashboard.xlsx]Top 10 Employee leave balance!PivotTable12</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Employee</a:t>
            </a:r>
            <a:r>
              <a:rPr lang="en-US" baseline="0"/>
              <a:t> </a:t>
            </a:r>
            <a:r>
              <a:rPr lang="en-US"/>
              <a:t>Leave Balance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Employee leave balance'!$B$3</c:f>
              <c:strCache>
                <c:ptCount val="1"/>
                <c:pt idx="0">
                  <c:v>Total</c:v>
                </c:pt>
              </c:strCache>
            </c:strRef>
          </c:tx>
          <c:spPr>
            <a:pattFill prst="ltUpDiag">
              <a:fgClr>
                <a:schemeClr val="accent1"/>
              </a:fgClr>
              <a:bgClr>
                <a:schemeClr val="lt1"/>
              </a:bgClr>
            </a:pattFill>
            <a:ln>
              <a:noFill/>
            </a:ln>
            <a:effectLst/>
          </c:spPr>
          <c:invertIfNegative val="0"/>
          <c:cat>
            <c:strRef>
              <c:f>'Top 10 Employee leave balance'!$A$4:$A$15</c:f>
              <c:strCache>
                <c:ptCount val="11"/>
                <c:pt idx="0">
                  <c:v>Aanya Singh</c:v>
                </c:pt>
                <c:pt idx="1">
                  <c:v>Advait Kapoor</c:v>
                </c:pt>
                <c:pt idx="2">
                  <c:v>Allene Gobbet</c:v>
                </c:pt>
                <c:pt idx="3">
                  <c:v>Avani Iyer</c:v>
                </c:pt>
                <c:pt idx="4">
                  <c:v>Dev Joshi</c:v>
                </c:pt>
                <c:pt idx="5">
                  <c:v>Kabir Trivedi</c:v>
                </c:pt>
                <c:pt idx="6">
                  <c:v>Kiaan Shah</c:v>
                </c:pt>
                <c:pt idx="7">
                  <c:v>Kiara Bhatia</c:v>
                </c:pt>
                <c:pt idx="8">
                  <c:v>Mollie Hanway</c:v>
                </c:pt>
                <c:pt idx="9">
                  <c:v>Reyansh Rana</c:v>
                </c:pt>
                <c:pt idx="10">
                  <c:v>Zara Verma</c:v>
                </c:pt>
              </c:strCache>
            </c:strRef>
          </c:cat>
          <c:val>
            <c:numRef>
              <c:f>'Top 10 Employee leave balance'!$B$4:$B$15</c:f>
              <c:numCache>
                <c:formatCode>General</c:formatCode>
                <c:ptCount val="11"/>
                <c:pt idx="0">
                  <c:v>30</c:v>
                </c:pt>
                <c:pt idx="1">
                  <c:v>37</c:v>
                </c:pt>
                <c:pt idx="2">
                  <c:v>30</c:v>
                </c:pt>
                <c:pt idx="3">
                  <c:v>38</c:v>
                </c:pt>
                <c:pt idx="4">
                  <c:v>31</c:v>
                </c:pt>
                <c:pt idx="5">
                  <c:v>31</c:v>
                </c:pt>
                <c:pt idx="6">
                  <c:v>39</c:v>
                </c:pt>
                <c:pt idx="7">
                  <c:v>38</c:v>
                </c:pt>
                <c:pt idx="8">
                  <c:v>35</c:v>
                </c:pt>
                <c:pt idx="9">
                  <c:v>34</c:v>
                </c:pt>
                <c:pt idx="10">
                  <c:v>33</c:v>
                </c:pt>
              </c:numCache>
            </c:numRef>
          </c:val>
          <c:extLst>
            <c:ext xmlns:c16="http://schemas.microsoft.com/office/drawing/2014/chart" uri="{C3380CC4-5D6E-409C-BE32-E72D297353CC}">
              <c16:uniqueId val="{00000000-64B6-4C9B-876A-44C34B2FF988}"/>
            </c:ext>
          </c:extLst>
        </c:ser>
        <c:dLbls>
          <c:showLegendKey val="0"/>
          <c:showVal val="0"/>
          <c:showCatName val="0"/>
          <c:showSerName val="0"/>
          <c:showPercent val="0"/>
          <c:showBubbleSize val="0"/>
        </c:dLbls>
        <c:gapWidth val="269"/>
        <c:overlap val="-20"/>
        <c:axId val="797340848"/>
        <c:axId val="797357648"/>
      </c:barChart>
      <c:catAx>
        <c:axId val="797340848"/>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97357648"/>
        <c:crosses val="autoZero"/>
        <c:auto val="1"/>
        <c:lblAlgn val="ctr"/>
        <c:lblOffset val="100"/>
        <c:noMultiLvlLbl val="0"/>
      </c:catAx>
      <c:valAx>
        <c:axId val="79735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73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Dashboard.xlsx]Gender wise salary Distribution!PivotTable1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Gender wise salary  Distribution</a:t>
            </a:r>
          </a:p>
        </c:rich>
      </c:tx>
      <c:layout>
        <c:manualLayout>
          <c:xMode val="edge"/>
          <c:yMode val="edge"/>
          <c:x val="0.20887878787878791"/>
          <c:y val="6.167400881057268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s>
    <c:plotArea>
      <c:layout/>
      <c:barChart>
        <c:barDir val="bar"/>
        <c:grouping val="clustered"/>
        <c:varyColors val="0"/>
        <c:ser>
          <c:idx val="0"/>
          <c:order val="0"/>
          <c:tx>
            <c:strRef>
              <c:f>'Gender wise salary Distribution'!$B$3</c:f>
              <c:strCache>
                <c:ptCount val="1"/>
                <c:pt idx="0">
                  <c:v>Total</c:v>
                </c:pt>
              </c:strCache>
            </c:strRef>
          </c:tx>
          <c:spPr>
            <a:solidFill>
              <a:schemeClr val="lt1"/>
            </a:solidFill>
            <a:ln w="19050">
              <a:solidFill>
                <a:schemeClr val="accent1"/>
              </a:solidFill>
            </a:ln>
            <a:effectLst/>
          </c:spPr>
          <c:invertIfNegative val="0"/>
          <c:dPt>
            <c:idx val="0"/>
            <c:invertIfNegative val="0"/>
            <c:bubble3D val="0"/>
            <c:spPr>
              <a:solidFill>
                <a:schemeClr val="lt1"/>
              </a:solidFill>
              <a:ln w="19050">
                <a:solidFill>
                  <a:schemeClr val="accent1"/>
                </a:solidFill>
              </a:ln>
              <a:effectLst/>
            </c:spPr>
            <c:extLst>
              <c:ext xmlns:c16="http://schemas.microsoft.com/office/drawing/2014/chart" uri="{C3380CC4-5D6E-409C-BE32-E72D297353CC}">
                <c16:uniqueId val="{00000002-44D8-4349-9128-14EA0EC3A04F}"/>
              </c:ext>
            </c:extLst>
          </c:dPt>
          <c:dPt>
            <c:idx val="1"/>
            <c:invertIfNegative val="0"/>
            <c:bubble3D val="0"/>
            <c:spPr>
              <a:solidFill>
                <a:schemeClr val="lt1"/>
              </a:solidFill>
              <a:ln w="19050">
                <a:solidFill>
                  <a:schemeClr val="accent1"/>
                </a:solidFill>
              </a:ln>
              <a:effectLst/>
            </c:spPr>
            <c:extLst>
              <c:ext xmlns:c16="http://schemas.microsoft.com/office/drawing/2014/chart" uri="{C3380CC4-5D6E-409C-BE32-E72D297353CC}">
                <c16:uniqueId val="{00000003-63FC-4C43-8F86-F6CF1CC276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'Gender wise salary Distribution'!$A$4:$A$6</c:f>
              <c:strCache>
                <c:ptCount val="2"/>
                <c:pt idx="0">
                  <c:v>Female</c:v>
                </c:pt>
                <c:pt idx="1">
                  <c:v>Male</c:v>
                </c:pt>
              </c:strCache>
            </c:strRef>
          </c:cat>
          <c:val>
            <c:numRef>
              <c:f>'Gender wise salary Distribution'!$B$4:$B$6</c:f>
              <c:numCache>
                <c:formatCode>"₹"\ #,##0</c:formatCode>
                <c:ptCount val="2"/>
                <c:pt idx="0">
                  <c:v>7221</c:v>
                </c:pt>
                <c:pt idx="1">
                  <c:v>5820</c:v>
                </c:pt>
              </c:numCache>
            </c:numRef>
          </c:val>
          <c:extLst>
            <c:ext xmlns:c16="http://schemas.microsoft.com/office/drawing/2014/chart" uri="{C3380CC4-5D6E-409C-BE32-E72D297353CC}">
              <c16:uniqueId val="{00000000-44D8-4349-9128-14EA0EC3A04F}"/>
            </c:ext>
          </c:extLst>
        </c:ser>
        <c:dLbls>
          <c:showLegendKey val="0"/>
          <c:showVal val="0"/>
          <c:showCatName val="0"/>
          <c:showSerName val="0"/>
          <c:showPercent val="0"/>
          <c:showBubbleSize val="0"/>
        </c:dLbls>
        <c:gapWidth val="100"/>
        <c:axId val="663791824"/>
        <c:axId val="663795664"/>
      </c:barChart>
      <c:valAx>
        <c:axId val="663795664"/>
        <c:scaling>
          <c:orientation val="minMax"/>
        </c:scaling>
        <c:delete val="1"/>
        <c:axPos val="b"/>
        <c:numFmt formatCode="&quot;₹&quot;\ #,##0" sourceLinked="1"/>
        <c:majorTickMark val="out"/>
        <c:minorTickMark val="none"/>
        <c:tickLblPos val="nextTo"/>
        <c:crossAx val="663791824"/>
        <c:crosses val="autoZero"/>
        <c:crossBetween val="between"/>
      </c:valAx>
      <c:catAx>
        <c:axId val="663791824"/>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637956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Dashboard.xlsx]Top Earners!PivotTable2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Earners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Earners'!$B$3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Earners'!$A$4:$A$14</c:f>
              <c:strCache>
                <c:ptCount val="10"/>
                <c:pt idx="0">
                  <c:v>Chocolatier</c:v>
                </c:pt>
                <c:pt idx="1">
                  <c:v>Marketing Manager</c:v>
                </c:pt>
                <c:pt idx="2">
                  <c:v>Marketing Specialist</c:v>
                </c:pt>
                <c:pt idx="3">
                  <c:v>Packaging Associate</c:v>
                </c:pt>
                <c:pt idx="4">
                  <c:v>Product Manager</c:v>
                </c:pt>
                <c:pt idx="5">
                  <c:v>Production Operator</c:v>
                </c:pt>
                <c:pt idx="6">
                  <c:v>Quality Control</c:v>
                </c:pt>
                <c:pt idx="7">
                  <c:v>Research Analyst</c:v>
                </c:pt>
                <c:pt idx="8">
                  <c:v>Research Scientist</c:v>
                </c:pt>
                <c:pt idx="9">
                  <c:v>Sales Representative</c:v>
                </c:pt>
              </c:strCache>
            </c:strRef>
          </c:cat>
          <c:val>
            <c:numRef>
              <c:f>'Top Earners'!$B$4:$B$14</c:f>
              <c:numCache>
                <c:formatCode>"₹"\ #,##0;[Red]"₹"\ #,##0</c:formatCode>
                <c:ptCount val="10"/>
                <c:pt idx="0">
                  <c:v>887000</c:v>
                </c:pt>
                <c:pt idx="1">
                  <c:v>735300</c:v>
                </c:pt>
                <c:pt idx="2">
                  <c:v>621700</c:v>
                </c:pt>
                <c:pt idx="3">
                  <c:v>735000</c:v>
                </c:pt>
                <c:pt idx="4">
                  <c:v>1325200</c:v>
                </c:pt>
                <c:pt idx="5">
                  <c:v>750000</c:v>
                </c:pt>
                <c:pt idx="6">
                  <c:v>733300</c:v>
                </c:pt>
                <c:pt idx="7">
                  <c:v>925000</c:v>
                </c:pt>
                <c:pt idx="8">
                  <c:v>1163500</c:v>
                </c:pt>
                <c:pt idx="9">
                  <c:v>855200</c:v>
                </c:pt>
              </c:numCache>
            </c:numRef>
          </c:val>
          <c:extLst>
            <c:ext xmlns:c16="http://schemas.microsoft.com/office/drawing/2014/chart" uri="{C3380CC4-5D6E-409C-BE32-E72D297353CC}">
              <c16:uniqueId val="{00000000-7C1C-4CA0-B31F-DC78143D7829}"/>
            </c:ext>
          </c:extLst>
        </c:ser>
        <c:dLbls>
          <c:dLblPos val="inEnd"/>
          <c:showLegendKey val="0"/>
          <c:showVal val="1"/>
          <c:showCatName val="0"/>
          <c:showSerName val="0"/>
          <c:showPercent val="0"/>
          <c:showBubbleSize val="0"/>
        </c:dLbls>
        <c:gapWidth val="65"/>
        <c:axId val="797315888"/>
        <c:axId val="797333168"/>
      </c:barChart>
      <c:catAx>
        <c:axId val="7973158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7333168"/>
        <c:crosses val="autoZero"/>
        <c:auto val="1"/>
        <c:lblAlgn val="ctr"/>
        <c:lblOffset val="100"/>
        <c:noMultiLvlLbl val="0"/>
      </c:catAx>
      <c:valAx>
        <c:axId val="797333168"/>
        <c:scaling>
          <c:orientation val="minMax"/>
        </c:scaling>
        <c:delete val="1"/>
        <c:axPos val="b"/>
        <c:numFmt formatCode="&quot;₹&quot;\ #,##0;[Red]&quot;₹&quot;\ #,##0" sourceLinked="1"/>
        <c:majorTickMark val="none"/>
        <c:minorTickMark val="none"/>
        <c:tickLblPos val="nextTo"/>
        <c:crossAx val="7973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[hr-data-analysis - Dashboard.xlsx]Qualification vs Salary!PivotTable3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Qualification</a:t>
            </a:r>
            <a:r>
              <a:rPr lang="en-US" baseline="0"/>
              <a:t> vs Salary</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'Qualification vs Salary'!$B$3</c:f>
              <c:strCache>
                <c:ptCount val="1"/>
                <c:pt idx="0">
                  <c:v>Total</c:v>
                </c:pt>
              </c:strCache>
            </c:strRef>
          </c:tx>
          <c:spPr>
            <a:pattFill prst="ltUpDiag">
              <a:fgClr>
                <a:schemeClr val="accent1"/>
              </a:fgClr>
              <a:bgClr>
                <a:schemeClr val="lt1"/>
              </a:bgClr>
            </a:pattFill>
            <a:ln>
              <a:noFill/>
            </a:ln>
            <a:effectLst/>
          </c:spPr>
          <c:invertIfNegative val="0"/>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'Qualification vs Salary'!$A$4:$A$8</c:f>
              <c:strCache>
                <c:ptCount val="4"/>
                <c:pt idx="0">
                  <c:v>Bachelor's Degree</c:v>
                </c:pt>
                <c:pt idx="1">
                  <c:v>Diploma</c:v>
                </c:pt>
                <c:pt idx="2">
                  <c:v>High School Diploma</c:v>
                </c:pt>
                <c:pt idx="3">
                  <c:v>Master's Degree</c:v>
                </c:pt>
              </c:strCache>
            </c:strRef>
          </c:cat>
          <c:val>
            <c:numRef>
              <c:f>'Qualification vs Salary'!$B$4:$B$8</c:f>
              <c:numCache>
                <c:formatCode>"₹"\ #,##0;[Red]"₹"\ #,##0</c:formatCode>
                <c:ptCount val="4"/>
                <c:pt idx="0">
                  <c:v>2640200</c:v>
                </c:pt>
                <c:pt idx="1">
                  <c:v>2092900</c:v>
                </c:pt>
                <c:pt idx="2">
                  <c:v>2054000</c:v>
                </c:pt>
                <c:pt idx="3">
                  <c:v>1944100</c:v>
                </c:pt>
              </c:numCache>
            </c:numRef>
          </c:val>
          <c:extLst>
            <c:ext xmlns:c16="http://schemas.microsoft.com/office/drawing/2014/chart" uri="{C3380CC4-5D6E-409C-BE32-E72D297353CC}">
              <c16:uniqueId val="{00000000-6312-44DF-BB70-C2BB76C8F105}"/>
            </c:ext>
          </c:extLst>
        </c:ser>
        <c:dLbls>
          <c:dLblPos val="ctr"/>
          <c:showLegendKey val="0"/>
          <c:showVal val="1"/>
          <c:showCatName val="0"/>
          <c:showSerName val="0"/>
          <c:showPercent val="0"/>
          <c:showBubbleSize val="0"/>
        </c:dLbls>
        <c:gapWidth val="219"/>
        <c:axId val="797352848"/>
        <c:axId val="797354768"/>
      </c:barChart>
      <c:catAx>
        <c:axId val="797352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797354768"/>
        <c:crosses val="autoZero"/>
        <c:auto val="1"/>
        <c:lblAlgn val="ctr"/>
        <c:lblOffset val="100"/>
        <c:noMultiLvlLbl val="0"/>
      </c:catAx>
      <c:valAx>
        <c:axId val="797354768"/>
        <c:scaling>
          <c:orientation val="minMax"/>
        </c:scaling>
        <c:delete val="1"/>
        <c:axPos val="l"/>
        <c:numFmt formatCode="&quot;₹&quot;\ #,##0;[Red]&quot;₹&quot;\ #,##0" sourceLinked="1"/>
        <c:majorTickMark val="none"/>
        <c:minorTickMark val="none"/>
        <c:tickLblPos val="nextTo"/>
        <c:crossAx val="7973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[hr-data-analysis - Dashboard.xlsx]Top Earners!PivotTable2</c:name>
    <c:fmtId val="17"/>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Top Earners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13746456097067"/>
          <c:y val="0.17353892678628635"/>
          <c:w val="0.67569292912539669"/>
          <c:h val="0.82646107321371365"/>
        </c:manualLayout>
      </c:layout>
      <c:barChart>
        <c:barDir val="bar"/>
        <c:grouping val="clustered"/>
        <c:varyColors val="0"/>
        <c:ser>
          <c:idx val="0"/>
          <c:order val="0"/>
          <c:tx>
            <c:strRef>
              <c:f>'Top Earners'!$B$3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Earners'!$A$4:$A$14</c:f>
              <c:strCache>
                <c:ptCount val="10"/>
                <c:pt idx="0">
                  <c:v>Chocolatier</c:v>
                </c:pt>
                <c:pt idx="1">
                  <c:v>Marketing Manager</c:v>
                </c:pt>
                <c:pt idx="2">
                  <c:v>Marketing Specialist</c:v>
                </c:pt>
                <c:pt idx="3">
                  <c:v>Packaging Associate</c:v>
                </c:pt>
                <c:pt idx="4">
                  <c:v>Product Manager</c:v>
                </c:pt>
                <c:pt idx="5">
                  <c:v>Production Operator</c:v>
                </c:pt>
                <c:pt idx="6">
                  <c:v>Quality Control</c:v>
                </c:pt>
                <c:pt idx="7">
                  <c:v>Research Analyst</c:v>
                </c:pt>
                <c:pt idx="8">
                  <c:v>Research Scientist</c:v>
                </c:pt>
                <c:pt idx="9">
                  <c:v>Sales Representative</c:v>
                </c:pt>
              </c:strCache>
            </c:strRef>
          </c:cat>
          <c:val>
            <c:numRef>
              <c:f>'Top Earners'!$B$4:$B$14</c:f>
              <c:numCache>
                <c:formatCode>"₹"\ #,##0;[Red]"₹"\ #,##0</c:formatCode>
                <c:ptCount val="10"/>
                <c:pt idx="0">
                  <c:v>887000</c:v>
                </c:pt>
                <c:pt idx="1">
                  <c:v>735300</c:v>
                </c:pt>
                <c:pt idx="2">
                  <c:v>621700</c:v>
                </c:pt>
                <c:pt idx="3">
                  <c:v>735000</c:v>
                </c:pt>
                <c:pt idx="4">
                  <c:v>1325200</c:v>
                </c:pt>
                <c:pt idx="5">
                  <c:v>750000</c:v>
                </c:pt>
                <c:pt idx="6">
                  <c:v>733300</c:v>
                </c:pt>
                <c:pt idx="7">
                  <c:v>925000</c:v>
                </c:pt>
                <c:pt idx="8">
                  <c:v>1163500</c:v>
                </c:pt>
                <c:pt idx="9">
                  <c:v>855200</c:v>
                </c:pt>
              </c:numCache>
            </c:numRef>
          </c:val>
          <c:extLst>
            <c:ext xmlns:c16="http://schemas.microsoft.com/office/drawing/2014/chart" uri="{C3380CC4-5D6E-409C-BE32-E72D297353CC}">
              <c16:uniqueId val="{00000000-65E2-402D-B276-6B20E370B101}"/>
            </c:ext>
          </c:extLst>
        </c:ser>
        <c:dLbls>
          <c:dLblPos val="inEnd"/>
          <c:showLegendKey val="0"/>
          <c:showVal val="1"/>
          <c:showCatName val="0"/>
          <c:showSerName val="0"/>
          <c:showPercent val="0"/>
          <c:showBubbleSize val="0"/>
        </c:dLbls>
        <c:gapWidth val="115"/>
        <c:overlap val="-20"/>
        <c:axId val="797315888"/>
        <c:axId val="797333168"/>
      </c:barChart>
      <c:catAx>
        <c:axId val="7973158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33168"/>
        <c:crosses val="autoZero"/>
        <c:auto val="1"/>
        <c:lblAlgn val="ctr"/>
        <c:lblOffset val="100"/>
        <c:noMultiLvlLbl val="0"/>
      </c:catAx>
      <c:valAx>
        <c:axId val="797333168"/>
        <c:scaling>
          <c:orientation val="minMax"/>
        </c:scaling>
        <c:delete val="1"/>
        <c:axPos val="b"/>
        <c:numFmt formatCode="&quot;₹&quot;\ #,##0;[Red]&quot;₹&quot;\ #,##0" sourceLinked="1"/>
        <c:majorTickMark val="none"/>
        <c:minorTickMark val="none"/>
        <c:tickLblPos val="nextTo"/>
        <c:crossAx val="79731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[hr-data-analysis - Dashboard.xlsx]Top 10 Employee leave balance!PivotTable12</c:name>
    <c:fmtId val="11"/>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Top 10 Employee Leave Balance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Employee leave balance'!$B$3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Employee leave balance'!$A$4:$A$15</c:f>
              <c:strCache>
                <c:ptCount val="11"/>
                <c:pt idx="0">
                  <c:v>Aanya Singh</c:v>
                </c:pt>
                <c:pt idx="1">
                  <c:v>Advait Kapoor</c:v>
                </c:pt>
                <c:pt idx="2">
                  <c:v>Allene Gobbet</c:v>
                </c:pt>
                <c:pt idx="3">
                  <c:v>Avani Iyer</c:v>
                </c:pt>
                <c:pt idx="4">
                  <c:v>Dev Joshi</c:v>
                </c:pt>
                <c:pt idx="5">
                  <c:v>Kabir Trivedi</c:v>
                </c:pt>
                <c:pt idx="6">
                  <c:v>Kiaan Shah</c:v>
                </c:pt>
                <c:pt idx="7">
                  <c:v>Kiara Bhatia</c:v>
                </c:pt>
                <c:pt idx="8">
                  <c:v>Mollie Hanway</c:v>
                </c:pt>
                <c:pt idx="9">
                  <c:v>Reyansh Rana</c:v>
                </c:pt>
                <c:pt idx="10">
                  <c:v>Zara Verma</c:v>
                </c:pt>
              </c:strCache>
            </c:strRef>
          </c:cat>
          <c:val>
            <c:numRef>
              <c:f>'Top 10 Employee leave balance'!$B$4:$B$15</c:f>
              <c:numCache>
                <c:formatCode>General</c:formatCode>
                <c:ptCount val="11"/>
                <c:pt idx="0">
                  <c:v>30</c:v>
                </c:pt>
                <c:pt idx="1">
                  <c:v>37</c:v>
                </c:pt>
                <c:pt idx="2">
                  <c:v>30</c:v>
                </c:pt>
                <c:pt idx="3">
                  <c:v>38</c:v>
                </c:pt>
                <c:pt idx="4">
                  <c:v>31</c:v>
                </c:pt>
                <c:pt idx="5">
                  <c:v>31</c:v>
                </c:pt>
                <c:pt idx="6">
                  <c:v>39</c:v>
                </c:pt>
                <c:pt idx="7">
                  <c:v>38</c:v>
                </c:pt>
                <c:pt idx="8">
                  <c:v>35</c:v>
                </c:pt>
                <c:pt idx="9">
                  <c:v>34</c:v>
                </c:pt>
                <c:pt idx="10">
                  <c:v>33</c:v>
                </c:pt>
              </c:numCache>
            </c:numRef>
          </c:val>
          <c:extLst>
            <c:ext xmlns:c16="http://schemas.microsoft.com/office/drawing/2014/chart" uri="{C3380CC4-5D6E-409C-BE32-E72D297353CC}">
              <c16:uniqueId val="{00000000-E1FA-4375-AC5D-8C2B6CA24F94}"/>
            </c:ext>
          </c:extLst>
        </c:ser>
        <c:dLbls>
          <c:dLblPos val="outEnd"/>
          <c:showLegendKey val="0"/>
          <c:showVal val="1"/>
          <c:showCatName val="0"/>
          <c:showSerName val="0"/>
          <c:showPercent val="0"/>
          <c:showBubbleSize val="0"/>
        </c:dLbls>
        <c:gapWidth val="100"/>
        <c:overlap val="-24"/>
        <c:axId val="797340848"/>
        <c:axId val="797357648"/>
      </c:barChart>
      <c:catAx>
        <c:axId val="797340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57648"/>
        <c:crosses val="autoZero"/>
        <c:auto val="1"/>
        <c:lblAlgn val="ctr"/>
        <c:lblOffset val="100"/>
        <c:noMultiLvlLbl val="0"/>
      </c:catAx>
      <c:valAx>
        <c:axId val="79735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3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[hr-data-analysis - Dashboard.xlsx]Employee count bassed on DOJ!PivotTable15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count  bassed  on DOJ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dk1">
                <a:tint val="88500"/>
              </a:schemeClr>
            </a:solidFill>
            <a:round/>
          </a:ln>
          <a:effectLst/>
        </c:spPr>
        <c:marker>
          <c:symbol val="circle"/>
          <c:size val="17"/>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2624459014694E-2"/>
          <c:y val="0.22172506420791604"/>
          <c:w val="0.94207375540985305"/>
          <c:h val="0.71431801244779869"/>
        </c:manualLayout>
      </c:layout>
      <c:lineChart>
        <c:grouping val="standard"/>
        <c:varyColors val="0"/>
        <c:ser>
          <c:idx val="0"/>
          <c:order val="0"/>
          <c:tx>
            <c:strRef>
              <c:f>'Employee count bassed on DOJ'!$B$3</c:f>
              <c:strCache>
                <c:ptCount val="1"/>
                <c:pt idx="0">
                  <c:v>Total</c:v>
                </c:pt>
              </c:strCache>
            </c:strRef>
          </c:tx>
          <c:spPr>
            <a:ln w="31750" cap="rnd">
              <a:solidFill>
                <a:schemeClr val="dk1">
                  <a:tint val="88500"/>
                </a:schemeClr>
              </a:solidFill>
              <a:round/>
            </a:ln>
            <a:effectLst/>
          </c:spPr>
          <c:marker>
            <c:symbol val="circle"/>
            <c:size val="17"/>
            <c:spPr>
              <a:solidFill>
                <a:schemeClr val="dk1">
                  <a:tint val="885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 count bassed on DOJ'!$A$4:$A$11</c:f>
              <c:strCache>
                <c:ptCount val="7"/>
                <c:pt idx="0">
                  <c:v>2017</c:v>
                </c:pt>
                <c:pt idx="1">
                  <c:v>2018</c:v>
                </c:pt>
                <c:pt idx="2">
                  <c:v>2019</c:v>
                </c:pt>
                <c:pt idx="3">
                  <c:v>2020</c:v>
                </c:pt>
                <c:pt idx="4">
                  <c:v>2021</c:v>
                </c:pt>
                <c:pt idx="5">
                  <c:v>2022</c:v>
                </c:pt>
                <c:pt idx="6">
                  <c:v>2023</c:v>
                </c:pt>
              </c:strCache>
            </c:strRef>
          </c:cat>
          <c:val>
            <c:numRef>
              <c:f>'Employee count bassed on DOJ'!$B$4:$B$11</c:f>
              <c:numCache>
                <c:formatCode>General</c:formatCode>
                <c:ptCount val="7"/>
                <c:pt idx="0">
                  <c:v>10</c:v>
                </c:pt>
                <c:pt idx="1">
                  <c:v>23</c:v>
                </c:pt>
                <c:pt idx="2">
                  <c:v>29</c:v>
                </c:pt>
                <c:pt idx="3">
                  <c:v>29</c:v>
                </c:pt>
                <c:pt idx="4">
                  <c:v>27</c:v>
                </c:pt>
                <c:pt idx="5">
                  <c:v>23</c:v>
                </c:pt>
                <c:pt idx="6">
                  <c:v>20</c:v>
                </c:pt>
              </c:numCache>
            </c:numRef>
          </c:val>
          <c:smooth val="0"/>
          <c:extLst>
            <c:ext xmlns:c16="http://schemas.microsoft.com/office/drawing/2014/chart" uri="{C3380CC4-5D6E-409C-BE32-E72D297353CC}">
              <c16:uniqueId val="{00000000-EF63-40EE-9062-9FEA85E50F09}"/>
            </c:ext>
          </c:extLst>
        </c:ser>
        <c:dLbls>
          <c:dLblPos val="ctr"/>
          <c:showLegendKey val="0"/>
          <c:showVal val="1"/>
          <c:showCatName val="0"/>
          <c:showSerName val="0"/>
          <c:showPercent val="0"/>
          <c:showBubbleSize val="0"/>
        </c:dLbls>
        <c:marker val="1"/>
        <c:smooth val="0"/>
        <c:axId val="797359088"/>
        <c:axId val="797343728"/>
      </c:lineChart>
      <c:catAx>
        <c:axId val="797359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7343728"/>
        <c:crosses val="autoZero"/>
        <c:auto val="1"/>
        <c:lblAlgn val="ctr"/>
        <c:lblOffset val="100"/>
        <c:noMultiLvlLbl val="0"/>
      </c:catAx>
      <c:valAx>
        <c:axId val="797343728"/>
        <c:scaling>
          <c:orientation val="minMax"/>
        </c:scaling>
        <c:delete val="1"/>
        <c:axPos val="l"/>
        <c:numFmt formatCode="General" sourceLinked="1"/>
        <c:majorTickMark val="none"/>
        <c:minorTickMark val="none"/>
        <c:tickLblPos val="nextTo"/>
        <c:crossAx val="79735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[hr-data-analysis - Dashboard.xlsx]Gender wise salary Distribution!PivotTable1</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wise salary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alpha val="85000"/>
            </a:schemeClr>
          </a:solidFill>
          <a:ln w="9525" cap="flat" cmpd="sng" algn="ctr">
            <a:solidFill>
              <a:schemeClr val="lt1">
                <a:alpha val="50000"/>
              </a:schemeClr>
            </a:solidFill>
            <a:round/>
          </a:ln>
          <a:effectLst/>
        </c:spPr>
      </c:pivotFmt>
      <c:pivotFmt>
        <c:idx val="8"/>
        <c:spPr>
          <a:solidFill>
            <a:schemeClr val="accent3">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1906483944569674"/>
          <c:y val="0.31561647567862111"/>
          <c:w val="0.83787457885076988"/>
          <c:h val="0.59376015620692224"/>
        </c:manualLayout>
      </c:layout>
      <c:barChart>
        <c:barDir val="bar"/>
        <c:grouping val="clustered"/>
        <c:varyColors val="0"/>
        <c:ser>
          <c:idx val="0"/>
          <c:order val="0"/>
          <c:tx>
            <c:strRef>
              <c:f>'Gender wise salary Distribution'!$B$3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3277-45AE-B533-33FB05949C9F}"/>
              </c:ext>
            </c:extLst>
          </c:dPt>
          <c:dPt>
            <c:idx val="1"/>
            <c:invertIfNegative val="0"/>
            <c:bubble3D val="0"/>
            <c:extLst>
              <c:ext xmlns:c16="http://schemas.microsoft.com/office/drawing/2014/chart" uri="{C3380CC4-5D6E-409C-BE32-E72D297353CC}">
                <c16:uniqueId val="{00000003-3277-45AE-B533-33FB05949C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wise salary Distribution'!$A$4:$A$6</c:f>
              <c:strCache>
                <c:ptCount val="2"/>
                <c:pt idx="0">
                  <c:v>Female</c:v>
                </c:pt>
                <c:pt idx="1">
                  <c:v>Male</c:v>
                </c:pt>
              </c:strCache>
            </c:strRef>
          </c:cat>
          <c:val>
            <c:numRef>
              <c:f>'Gender wise salary Distribution'!$B$4:$B$6</c:f>
              <c:numCache>
                <c:formatCode>"₹"\ #,##0</c:formatCode>
                <c:ptCount val="2"/>
                <c:pt idx="0">
                  <c:v>7221</c:v>
                </c:pt>
                <c:pt idx="1">
                  <c:v>5820</c:v>
                </c:pt>
              </c:numCache>
            </c:numRef>
          </c:val>
          <c:extLst>
            <c:ext xmlns:c16="http://schemas.microsoft.com/office/drawing/2014/chart" uri="{C3380CC4-5D6E-409C-BE32-E72D297353CC}">
              <c16:uniqueId val="{00000004-3277-45AE-B533-33FB05949C9F}"/>
            </c:ext>
          </c:extLst>
        </c:ser>
        <c:dLbls>
          <c:dLblPos val="inEnd"/>
          <c:showLegendKey val="0"/>
          <c:showVal val="1"/>
          <c:showCatName val="0"/>
          <c:showSerName val="0"/>
          <c:showPercent val="0"/>
          <c:showBubbleSize val="0"/>
        </c:dLbls>
        <c:gapWidth val="65"/>
        <c:axId val="663791824"/>
        <c:axId val="663795664"/>
      </c:barChart>
      <c:valAx>
        <c:axId val="663795664"/>
        <c:scaling>
          <c:orientation val="minMax"/>
        </c:scaling>
        <c:delete val="1"/>
        <c:axPos val="b"/>
        <c:numFmt formatCode="&quot;₹&quot;\ #,##0" sourceLinked="1"/>
        <c:majorTickMark val="none"/>
        <c:minorTickMark val="none"/>
        <c:tickLblPos val="nextTo"/>
        <c:crossAx val="663791824"/>
        <c:crosses val="autoZero"/>
        <c:crossBetween val="between"/>
      </c:valAx>
      <c:catAx>
        <c:axId val="66379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37956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Job Tittle Wise Salary</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panose="020F0502020204030204"/>
            </a:rPr>
            <a:t>Job Tittle Wise Salary</a:t>
          </a:r>
        </a:p>
      </cx:txPr>
    </cx:title>
    <cx:plotArea>
      <cx:plotAreaRegion>
        <cx:series layoutId="clusteredColumn" uniqueId="{433F1B2A-251E-4B9F-8626-35FDD7929866}" formatIdx="0">
          <cx:tx>
            <cx:txData>
              <cx:f>_xlchart.v1.1</cx:f>
              <cx:v>Salary</cx:v>
            </cx:txData>
          </cx:tx>
          <cx:spPr>
            <a:effectLst>
              <a:glow rad="139700">
                <a:schemeClr val="accent5">
                  <a:satMod val="175000"/>
                  <a:alpha val="40000"/>
                </a:schemeClr>
              </a:glow>
              <a:outerShdw blurRad="50800" dist="50800" dir="5400000" algn="ctr" rotWithShape="0">
                <a:schemeClr val="bg2">
                  <a:lumMod val="50000"/>
                </a:schemeClr>
              </a:outerShdw>
              <a:softEdge rad="12700"/>
            </a:effectLst>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aggregation/>
          </cx:layoutPr>
        </cx:series>
      </cx:plotAreaRegion>
      <cx:axis id="0">
        <cx:catScaling gapWidth="1.33000004"/>
        <cx:tickLabels/>
      </cx:axis>
      <cx:axis id="1" hidden="1">
        <cx:valScaling/>
        <cx:tickLabels/>
      </cx:axis>
    </cx:plotArea>
  </cx:chart>
  <cx:spPr>
    <a:ln w="19050">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Job Tittle Wise Salary</cx:v>
        </cx:txData>
      </cx:tx>
      <cx:txPr>
        <a:bodyPr spcFirstLastPara="1" vertOverflow="ellipsis" horzOverflow="overflow" wrap="square" lIns="0" tIns="0" rIns="0" bIns="0" anchor="ctr" anchorCtr="1"/>
        <a:lstStyle/>
        <a:p>
          <a:pPr algn="ctr" rtl="0">
            <a:defRPr sz="1800">
              <a:solidFill>
                <a:schemeClr val="tx1"/>
              </a:solidFill>
            </a:defRPr>
          </a:pPr>
          <a:r>
            <a:rPr lang="en-US" sz="1800" b="1" i="0" u="none" strike="noStrike" cap="all" spc="100" baseline="0">
              <a:solidFill>
                <a:schemeClr val="tx1"/>
              </a:solidFill>
              <a:latin typeface="Calibri" panose="020F0502020204030204"/>
            </a:rPr>
            <a:t>Job Tittle Wise Salary</a:t>
          </a:r>
        </a:p>
      </cx:txPr>
    </cx:title>
    <cx:plotArea>
      <cx:plotAreaRegion>
        <cx:series layoutId="clusteredColumn" uniqueId="{433F1B2A-251E-4B9F-8626-35FDD7929866}" formatIdx="0">
          <cx:tx>
            <cx:txData>
              <cx:f>_xlchart.v1.4</cx:f>
              <cx:v>Salary</cx:v>
            </cx:txData>
          </cx:tx>
          <cx:dataLabels>
            <cx:visibility seriesName="0" categoryName="0" value="1"/>
            <cx:separator>, </cx:separator>
            <cx:dataLabel idx="0">
              <cx:txPr>
                <a:bodyPr spcFirstLastPara="1" vertOverflow="ellipsis" horzOverflow="overflow" wrap="square" lIns="0" tIns="0" rIns="0" bIns="0" anchor="ctr" anchorCtr="1"/>
                <a:lstStyle/>
                <a:p>
                  <a:pPr algn="ctr" rtl="0">
                    <a:defRPr sz="800"/>
                  </a:pPr>
                  <a:r>
                    <a:rPr lang="en-US" sz="800" b="0" i="0" u="none" strike="noStrike" baseline="0">
                      <a:solidFill>
                        <a:sysClr val="windowText" lastClr="000000"/>
                      </a:solidFill>
                      <a:latin typeface="Calibri" panose="020F0502020204030204"/>
                    </a:rPr>
                    <a:t>₹ 8,87,000</a:t>
                  </a:r>
                </a:p>
              </cx:txPr>
            </cx:dataLabel>
          </cx:dataLabels>
          <cx:dataId val="0"/>
          <cx:layoutPr>
            <cx:aggregation/>
          </cx:layoutPr>
        </cx:series>
      </cx:plotAreaRegion>
      <cx:axis id="0">
        <cx:catScaling gapWidth="1.33000004"/>
        <cx:tickLabels/>
      </cx:axis>
      <cx:axis id="1" hidden="1">
        <cx:valScaling/>
        <cx:tickLabels/>
      </cx:axis>
    </cx:plotArea>
  </cx:chart>
  <cx:spPr>
    <a:ln w="3175">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emf"/><Relationship Id="rId18" Type="http://schemas.openxmlformats.org/officeDocument/2006/relationships/image" Target="../media/image13.emf"/><Relationship Id="rId3" Type="http://schemas.openxmlformats.org/officeDocument/2006/relationships/chart" Target="../charts/chart8.xml"/><Relationship Id="rId21" Type="http://schemas.openxmlformats.org/officeDocument/2006/relationships/image" Target="../media/image16.svg"/><Relationship Id="rId7" Type="http://schemas.openxmlformats.org/officeDocument/2006/relationships/image" Target="../media/image2.emf"/><Relationship Id="rId12" Type="http://schemas.openxmlformats.org/officeDocument/2006/relationships/image" Target="../media/image7.emf"/><Relationship Id="rId17" Type="http://schemas.openxmlformats.org/officeDocument/2006/relationships/image" Target="../media/image12.emf"/><Relationship Id="rId25" Type="http://schemas.openxmlformats.org/officeDocument/2006/relationships/image" Target="../media/image20.svg"/><Relationship Id="rId2" Type="http://schemas.openxmlformats.org/officeDocument/2006/relationships/chart" Target="../charts/chart7.xml"/><Relationship Id="rId16" Type="http://schemas.openxmlformats.org/officeDocument/2006/relationships/image" Target="../media/image11.emf"/><Relationship Id="rId20" Type="http://schemas.openxmlformats.org/officeDocument/2006/relationships/image" Target="../media/image15.png"/><Relationship Id="rId1" Type="http://schemas.microsoft.com/office/2014/relationships/chartEx" Target="../charts/chartEx2.xml"/><Relationship Id="rId6" Type="http://schemas.openxmlformats.org/officeDocument/2006/relationships/image" Target="../media/image1.emf"/><Relationship Id="rId11" Type="http://schemas.openxmlformats.org/officeDocument/2006/relationships/image" Target="../media/image6.emf"/><Relationship Id="rId24" Type="http://schemas.openxmlformats.org/officeDocument/2006/relationships/image" Target="../media/image19.png"/><Relationship Id="rId5" Type="http://schemas.openxmlformats.org/officeDocument/2006/relationships/chart" Target="../charts/chart10.xml"/><Relationship Id="rId15" Type="http://schemas.openxmlformats.org/officeDocument/2006/relationships/image" Target="../media/image10.emf"/><Relationship Id="rId23" Type="http://schemas.openxmlformats.org/officeDocument/2006/relationships/image" Target="../media/image18.svg"/><Relationship Id="rId10" Type="http://schemas.openxmlformats.org/officeDocument/2006/relationships/image" Target="../media/image5.emf"/><Relationship Id="rId19" Type="http://schemas.openxmlformats.org/officeDocument/2006/relationships/image" Target="../media/image14.emf"/><Relationship Id="rId4" Type="http://schemas.openxmlformats.org/officeDocument/2006/relationships/chart" Target="../charts/chart9.xml"/><Relationship Id="rId9" Type="http://schemas.openxmlformats.org/officeDocument/2006/relationships/image" Target="../media/image4.emf"/><Relationship Id="rId14" Type="http://schemas.openxmlformats.org/officeDocument/2006/relationships/image" Target="../media/image9.emf"/><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2</xdr:col>
      <xdr:colOff>495300</xdr:colOff>
      <xdr:row>0</xdr:row>
      <xdr:rowOff>215901</xdr:rowOff>
    </xdr:from>
    <xdr:to>
      <xdr:col>7</xdr:col>
      <xdr:colOff>264272</xdr:colOff>
      <xdr:row>15</xdr:row>
      <xdr:rowOff>44451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AB63689-5898-4B6B-9133-44FAEDF4B8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4300" y="215901"/>
              <a:ext cx="5179172" cy="3352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365125</xdr:colOff>
      <xdr:row>2</xdr:row>
      <xdr:rowOff>123825</xdr:rowOff>
    </xdr:from>
    <xdr:to>
      <xdr:col>8</xdr:col>
      <xdr:colOff>60325</xdr:colOff>
      <xdr:row>14</xdr:row>
      <xdr:rowOff>47625</xdr:rowOff>
    </xdr:to>
    <xdr:graphicFrame macro="">
      <xdr:nvGraphicFramePr>
        <xdr:cNvPr id="2" name="Chart 1">
          <a:extLst>
            <a:ext uri="{FF2B5EF4-FFF2-40B4-BE49-F238E27FC236}">
              <a16:creationId xmlns:a16="http://schemas.microsoft.com/office/drawing/2014/main" id="{3383E3EE-02AB-06A8-FA70-8994B9222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50800</xdr:colOff>
      <xdr:row>0</xdr:row>
      <xdr:rowOff>127000</xdr:rowOff>
    </xdr:from>
    <xdr:to>
      <xdr:col>11</xdr:col>
      <xdr:colOff>254000</xdr:colOff>
      <xdr:row>13</xdr:row>
      <xdr:rowOff>168275</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4023257E-B0CF-AD7A-B796-D85C330E519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8077200" y="127000"/>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374650</xdr:colOff>
      <xdr:row>2</xdr:row>
      <xdr:rowOff>203201</xdr:rowOff>
    </xdr:from>
    <xdr:to>
      <xdr:col>13</xdr:col>
      <xdr:colOff>577850</xdr:colOff>
      <xdr:row>7</xdr:row>
      <xdr:rowOff>88901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17D45F81-DA94-7685-BD5F-702BC2011A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26650" y="673101"/>
              <a:ext cx="1828800" cy="1060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11</xdr:row>
      <xdr:rowOff>152401</xdr:rowOff>
    </xdr:from>
    <xdr:to>
      <xdr:col>2</xdr:col>
      <xdr:colOff>241300</xdr:colOff>
      <xdr:row>19</xdr:row>
      <xdr:rowOff>114301</xdr:rowOff>
    </xdr:to>
    <mc:AlternateContent xmlns:mc="http://schemas.openxmlformats.org/markup-compatibility/2006" xmlns:a14="http://schemas.microsoft.com/office/drawing/2010/main">
      <mc:Choice Requires="a14">
        <xdr:graphicFrame macro="">
          <xdr:nvGraphicFramePr>
            <xdr:cNvPr id="5" name="Education Qualification">
              <a:extLst>
                <a:ext uri="{FF2B5EF4-FFF2-40B4-BE49-F238E27FC236}">
                  <a16:creationId xmlns:a16="http://schemas.microsoft.com/office/drawing/2014/main" id="{C71778AF-69FA-3CBD-0669-381E22558291}"/>
                </a:ext>
              </a:extLst>
            </xdr:cNvPr>
            <xdr:cNvGraphicFramePr/>
          </xdr:nvGraphicFramePr>
          <xdr:xfrm>
            <a:off x="0" y="0"/>
            <a:ext cx="0" cy="0"/>
          </xdr:xfrm>
          <a:graphic>
            <a:graphicData uri="http://schemas.microsoft.com/office/drawing/2010/slicer">
              <sle:slicer xmlns:sle="http://schemas.microsoft.com/office/drawing/2010/slicer" name="Education Qualification"/>
            </a:graphicData>
          </a:graphic>
        </xdr:graphicFrame>
      </mc:Choice>
      <mc:Fallback xmlns="">
        <xdr:sp macro="" textlink="">
          <xdr:nvSpPr>
            <xdr:cNvPr id="0" name=""/>
            <xdr:cNvSpPr>
              <a:spLocks noTextEdit="1"/>
            </xdr:cNvSpPr>
          </xdr:nvSpPr>
          <xdr:spPr>
            <a:xfrm>
              <a:off x="88900" y="2736851"/>
              <a:ext cx="24892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7</xdr:row>
      <xdr:rowOff>158750</xdr:rowOff>
    </xdr:from>
    <xdr:to>
      <xdr:col>13</xdr:col>
      <xdr:colOff>565150</xdr:colOff>
      <xdr:row>20</xdr:row>
      <xdr:rowOff>200025</xdr:rowOff>
    </xdr:to>
    <mc:AlternateContent xmlns:mc="http://schemas.openxmlformats.org/markup-compatibility/2006" xmlns:a14="http://schemas.microsoft.com/office/drawing/2010/main">
      <mc:Choice Requires="a14">
        <xdr:graphicFrame macro="">
          <xdr:nvGraphicFramePr>
            <xdr:cNvPr id="6" name="Job Title">
              <a:extLst>
                <a:ext uri="{FF2B5EF4-FFF2-40B4-BE49-F238E27FC236}">
                  <a16:creationId xmlns:a16="http://schemas.microsoft.com/office/drawing/2014/main" id="{5B3A19B3-D474-4D8A-587B-791C9305188D}"/>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0013950" y="1803400"/>
              <a:ext cx="1828800" cy="3095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12700</xdr:colOff>
      <xdr:row>14</xdr:row>
      <xdr:rowOff>76200</xdr:rowOff>
    </xdr:from>
    <xdr:to>
      <xdr:col>9</xdr:col>
      <xdr:colOff>95250</xdr:colOff>
      <xdr:row>20</xdr:row>
      <xdr:rowOff>38100</xdr:rowOff>
    </xdr:to>
    <mc:AlternateContent xmlns:mc="http://schemas.openxmlformats.org/markup-compatibility/2006" xmlns:tsle="http://schemas.microsoft.com/office/drawing/2012/timeslicer">
      <mc:Choice Requires="tsle">
        <xdr:graphicFrame macro="">
          <xdr:nvGraphicFramePr>
            <xdr:cNvPr id="7" name="Date of Join">
              <a:extLst>
                <a:ext uri="{FF2B5EF4-FFF2-40B4-BE49-F238E27FC236}">
                  <a16:creationId xmlns:a16="http://schemas.microsoft.com/office/drawing/2014/main" id="{CCC6B748-1358-E786-4BB1-FDE907224FA5}"/>
                </a:ext>
              </a:extLst>
            </xdr:cNvPr>
            <xdr:cNvGraphicFramePr/>
          </xdr:nvGraphicFramePr>
          <xdr:xfrm>
            <a:off x="0" y="0"/>
            <a:ext cx="0" cy="0"/>
          </xdr:xfrm>
          <a:graphic>
            <a:graphicData uri="http://schemas.microsoft.com/office/drawing/2012/timeslicer">
              <tsle:timeslicer name="Date of Join"/>
            </a:graphicData>
          </a:graphic>
        </xdr:graphicFrame>
      </mc:Choice>
      <mc:Fallback xmlns="">
        <xdr:sp macro="" textlink="">
          <xdr:nvSpPr>
            <xdr:cNvPr id="0" name=""/>
            <xdr:cNvSpPr>
              <a:spLocks noTextEdit="1"/>
            </xdr:cNvSpPr>
          </xdr:nvSpPr>
          <xdr:spPr>
            <a:xfrm>
              <a:off x="4787900" y="3365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263524</xdr:colOff>
      <xdr:row>142</xdr:row>
      <xdr:rowOff>231774</xdr:rowOff>
    </xdr:from>
    <xdr:to>
      <xdr:col>7</xdr:col>
      <xdr:colOff>285749</xdr:colOff>
      <xdr:row>156</xdr:row>
      <xdr:rowOff>38099</xdr:rowOff>
    </xdr:to>
    <xdr:graphicFrame macro="">
      <xdr:nvGraphicFramePr>
        <xdr:cNvPr id="2" name="Chart 1">
          <a:extLst>
            <a:ext uri="{FF2B5EF4-FFF2-40B4-BE49-F238E27FC236}">
              <a16:creationId xmlns:a16="http://schemas.microsoft.com/office/drawing/2014/main" id="{D7257416-56D5-04F0-E301-FC280FCB5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679450</xdr:colOff>
      <xdr:row>1</xdr:row>
      <xdr:rowOff>196850</xdr:rowOff>
    </xdr:from>
    <xdr:to>
      <xdr:col>7</xdr:col>
      <xdr:colOff>786110</xdr:colOff>
      <xdr:row>17</xdr:row>
      <xdr:rowOff>76364</xdr:rowOff>
    </xdr:to>
    <xdr:graphicFrame macro="">
      <xdr:nvGraphicFramePr>
        <xdr:cNvPr id="3" name="Chart 2">
          <a:extLst>
            <a:ext uri="{FF2B5EF4-FFF2-40B4-BE49-F238E27FC236}">
              <a16:creationId xmlns:a16="http://schemas.microsoft.com/office/drawing/2014/main" id="{8686A4F6-349C-4235-9716-BED009D7C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5</xdr:row>
      <xdr:rowOff>158750</xdr:rowOff>
    </xdr:from>
    <xdr:to>
      <xdr:col>8</xdr:col>
      <xdr:colOff>146050</xdr:colOff>
      <xdr:row>11</xdr:row>
      <xdr:rowOff>190500</xdr:rowOff>
    </xdr:to>
    <xdr:graphicFrame macro="">
      <xdr:nvGraphicFramePr>
        <xdr:cNvPr id="2" name="Chart 1">
          <a:extLst>
            <a:ext uri="{FF2B5EF4-FFF2-40B4-BE49-F238E27FC236}">
              <a16:creationId xmlns:a16="http://schemas.microsoft.com/office/drawing/2014/main" id="{6A8F277C-7299-1A8C-3352-B0E3FFCA8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269875</xdr:colOff>
      <xdr:row>2</xdr:row>
      <xdr:rowOff>76199</xdr:rowOff>
    </xdr:from>
    <xdr:to>
      <xdr:col>9</xdr:col>
      <xdr:colOff>612775</xdr:colOff>
      <xdr:row>13</xdr:row>
      <xdr:rowOff>225424</xdr:rowOff>
    </xdr:to>
    <xdr:graphicFrame macro="">
      <xdr:nvGraphicFramePr>
        <xdr:cNvPr id="2" name="Chart 1">
          <a:extLst>
            <a:ext uri="{FF2B5EF4-FFF2-40B4-BE49-F238E27FC236}">
              <a16:creationId xmlns:a16="http://schemas.microsoft.com/office/drawing/2014/main" id="{90CB08B3-9322-2BCF-14ED-9181BF458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809625</xdr:colOff>
      <xdr:row>2</xdr:row>
      <xdr:rowOff>168275</xdr:rowOff>
    </xdr:from>
    <xdr:to>
      <xdr:col>6</xdr:col>
      <xdr:colOff>396875</xdr:colOff>
      <xdr:row>14</xdr:row>
      <xdr:rowOff>92075</xdr:rowOff>
    </xdr:to>
    <xdr:graphicFrame macro="">
      <xdr:nvGraphicFramePr>
        <xdr:cNvPr id="2" name="Chart 1">
          <a:extLst>
            <a:ext uri="{FF2B5EF4-FFF2-40B4-BE49-F238E27FC236}">
              <a16:creationId xmlns:a16="http://schemas.microsoft.com/office/drawing/2014/main" id="{0621B9DD-53D2-E142-D2D7-B6CC912EA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58487</xdr:colOff>
      <xdr:row>6</xdr:row>
      <xdr:rowOff>16710</xdr:rowOff>
    </xdr:from>
    <xdr:to>
      <xdr:col>7</xdr:col>
      <xdr:colOff>401735</xdr:colOff>
      <xdr:row>21</xdr:row>
      <xdr:rowOff>25066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CC469F1-65E6-4B24-951D-FFF66A4CDE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487" y="1693110"/>
              <a:ext cx="6039198" cy="35326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609082</xdr:colOff>
      <xdr:row>21</xdr:row>
      <xdr:rowOff>158750</xdr:rowOff>
    </xdr:from>
    <xdr:to>
      <xdr:col>12</xdr:col>
      <xdr:colOff>505408</xdr:colOff>
      <xdr:row>36</xdr:row>
      <xdr:rowOff>217235</xdr:rowOff>
    </xdr:to>
    <xdr:graphicFrame macro="">
      <xdr:nvGraphicFramePr>
        <xdr:cNvPr id="4" name="Chart 3">
          <a:extLst>
            <a:ext uri="{FF2B5EF4-FFF2-40B4-BE49-F238E27FC236}">
              <a16:creationId xmlns:a16="http://schemas.microsoft.com/office/drawing/2014/main" id="{A121B718-DAB2-4CA3-A7C7-1325723AD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75198</xdr:colOff>
      <xdr:row>21</xdr:row>
      <xdr:rowOff>142040</xdr:rowOff>
    </xdr:from>
    <xdr:to>
      <xdr:col>6</xdr:col>
      <xdr:colOff>375987</xdr:colOff>
      <xdr:row>36</xdr:row>
      <xdr:rowOff>208879</xdr:rowOff>
    </xdr:to>
    <xdr:graphicFrame macro="">
      <xdr:nvGraphicFramePr>
        <xdr:cNvPr id="6" name="Chart 5">
          <a:extLst>
            <a:ext uri="{FF2B5EF4-FFF2-40B4-BE49-F238E27FC236}">
              <a16:creationId xmlns:a16="http://schemas.microsoft.com/office/drawing/2014/main" id="{29671BCE-2CAC-4623-BD8E-8D463EE3D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726909</xdr:colOff>
      <xdr:row>12</xdr:row>
      <xdr:rowOff>192171</xdr:rowOff>
    </xdr:from>
    <xdr:to>
      <xdr:col>18</xdr:col>
      <xdr:colOff>760330</xdr:colOff>
      <xdr:row>18</xdr:row>
      <xdr:rowOff>175460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D1584E87-3977-4581-939F-754E999BE9C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694277" y="3266908"/>
              <a:ext cx="1654342" cy="1386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576513</xdr:colOff>
      <xdr:row>19</xdr:row>
      <xdr:rowOff>16710</xdr:rowOff>
    </xdr:from>
    <xdr:to>
      <xdr:col>18</xdr:col>
      <xdr:colOff>768685</xdr:colOff>
      <xdr:row>24</xdr:row>
      <xdr:rowOff>13926</xdr:rowOff>
    </xdr:to>
    <mc:AlternateContent xmlns:mc="http://schemas.openxmlformats.org/markup-compatibility/2006" xmlns:a14="http://schemas.microsoft.com/office/drawing/2010/main">
      <mc:Choice Requires="a14">
        <xdr:graphicFrame macro="">
          <xdr:nvGraphicFramePr>
            <xdr:cNvPr id="10" name="Job Title 1">
              <a:extLst>
                <a:ext uri="{FF2B5EF4-FFF2-40B4-BE49-F238E27FC236}">
                  <a16:creationId xmlns:a16="http://schemas.microsoft.com/office/drawing/2014/main" id="{769BD49B-8B85-4DA9-B666-75DB7884FAD9}"/>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0302039" y="4729078"/>
              <a:ext cx="5054935" cy="1144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584868</xdr:colOff>
      <xdr:row>24</xdr:row>
      <xdr:rowOff>75193</xdr:rowOff>
    </xdr:from>
    <xdr:to>
      <xdr:col>18</xdr:col>
      <xdr:colOff>777038</xdr:colOff>
      <xdr:row>29</xdr:row>
      <xdr:rowOff>66840</xdr:rowOff>
    </xdr:to>
    <mc:AlternateContent xmlns:mc="http://schemas.openxmlformats.org/markup-compatibility/2006" xmlns:a14="http://schemas.microsoft.com/office/drawing/2010/main">
      <mc:Choice Requires="a14">
        <xdr:graphicFrame macro="">
          <xdr:nvGraphicFramePr>
            <xdr:cNvPr id="11" name="Education Qualification 2">
              <a:extLst>
                <a:ext uri="{FF2B5EF4-FFF2-40B4-BE49-F238E27FC236}">
                  <a16:creationId xmlns:a16="http://schemas.microsoft.com/office/drawing/2014/main" id="{A7070A9A-848A-4E8B-B8B4-EB160FF8F527}"/>
                </a:ext>
              </a:extLst>
            </xdr:cNvPr>
            <xdr:cNvGraphicFramePr/>
          </xdr:nvGraphicFramePr>
          <xdr:xfrm>
            <a:off x="0" y="0"/>
            <a:ext cx="0" cy="0"/>
          </xdr:xfrm>
          <a:graphic>
            <a:graphicData uri="http://schemas.microsoft.com/office/drawing/2010/slicer">
              <sle:slicer xmlns:sle="http://schemas.microsoft.com/office/drawing/2010/slicer" name="Education Qualification 2"/>
            </a:graphicData>
          </a:graphic>
        </xdr:graphicFrame>
      </mc:Choice>
      <mc:Fallback xmlns="">
        <xdr:sp macro="" textlink="">
          <xdr:nvSpPr>
            <xdr:cNvPr id="0" name=""/>
            <xdr:cNvSpPr>
              <a:spLocks noTextEdit="1"/>
            </xdr:cNvSpPr>
          </xdr:nvSpPr>
          <xdr:spPr>
            <a:xfrm>
              <a:off x="10310394" y="5957298"/>
              <a:ext cx="5054933" cy="1161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570205</xdr:colOff>
      <xdr:row>5</xdr:row>
      <xdr:rowOff>220308</xdr:rowOff>
    </xdr:from>
    <xdr:to>
      <xdr:col>12</xdr:col>
      <xdr:colOff>505407</xdr:colOff>
      <xdr:row>21</xdr:row>
      <xdr:rowOff>51837</xdr:rowOff>
    </xdr:to>
    <xdr:graphicFrame macro="">
      <xdr:nvGraphicFramePr>
        <xdr:cNvPr id="12" name="Chart 11">
          <a:extLst>
            <a:ext uri="{FF2B5EF4-FFF2-40B4-BE49-F238E27FC236}">
              <a16:creationId xmlns:a16="http://schemas.microsoft.com/office/drawing/2014/main" id="{692BB43E-6DBA-4331-820F-A0599B84D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584868</xdr:colOff>
      <xdr:row>12</xdr:row>
      <xdr:rowOff>192171</xdr:rowOff>
    </xdr:from>
    <xdr:to>
      <xdr:col>16</xdr:col>
      <xdr:colOff>551447</xdr:colOff>
      <xdr:row>18</xdr:row>
      <xdr:rowOff>192487</xdr:rowOff>
    </xdr:to>
    <mc:AlternateContent xmlns:mc="http://schemas.openxmlformats.org/markup-compatibility/2006" xmlns:tsle="http://schemas.microsoft.com/office/drawing/2012/timeslicer">
      <mc:Choice Requires="tsle">
        <xdr:graphicFrame macro="">
          <xdr:nvGraphicFramePr>
            <xdr:cNvPr id="13" name="Date of Join 1">
              <a:extLst>
                <a:ext uri="{FF2B5EF4-FFF2-40B4-BE49-F238E27FC236}">
                  <a16:creationId xmlns:a16="http://schemas.microsoft.com/office/drawing/2014/main" id="{03321500-1147-4B5D-8DCB-24953A54F468}"/>
                </a:ext>
              </a:extLst>
            </xdr:cNvPr>
            <xdr:cNvGraphicFramePr/>
          </xdr:nvGraphicFramePr>
          <xdr:xfrm>
            <a:off x="0" y="0"/>
            <a:ext cx="0" cy="0"/>
          </xdr:xfrm>
          <a:graphic>
            <a:graphicData uri="http://schemas.microsoft.com/office/drawing/2012/timeslicer">
              <tsle:timeslicer name="Date of Join 1"/>
            </a:graphicData>
          </a:graphic>
        </xdr:graphicFrame>
      </mc:Choice>
      <mc:Fallback xmlns="">
        <xdr:sp macro="" textlink="">
          <xdr:nvSpPr>
            <xdr:cNvPr id="0" name=""/>
            <xdr:cNvSpPr>
              <a:spLocks noTextEdit="1"/>
            </xdr:cNvSpPr>
          </xdr:nvSpPr>
          <xdr:spPr>
            <a:xfrm>
              <a:off x="10310394" y="3266908"/>
              <a:ext cx="3208421" cy="140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576512</xdr:colOff>
      <xdr:row>29</xdr:row>
      <xdr:rowOff>100264</xdr:rowOff>
    </xdr:from>
    <xdr:to>
      <xdr:col>18</xdr:col>
      <xdr:colOff>785395</xdr:colOff>
      <xdr:row>37</xdr:row>
      <xdr:rowOff>5569</xdr:rowOff>
    </xdr:to>
    <mc:AlternateContent xmlns:mc="http://schemas.openxmlformats.org/markup-compatibility/2006" xmlns:a14="http://schemas.microsoft.com/office/drawing/2010/main">
      <mc:Choice Requires="a14">
        <xdr:graphicFrame macro="">
          <xdr:nvGraphicFramePr>
            <xdr:cNvPr id="3" name="Name 1">
              <a:extLst>
                <a:ext uri="{FF2B5EF4-FFF2-40B4-BE49-F238E27FC236}">
                  <a16:creationId xmlns:a16="http://schemas.microsoft.com/office/drawing/2014/main" id="{F16D9B31-9536-4EF3-A763-5862179C4023}"/>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0302038" y="7152106"/>
              <a:ext cx="5071646" cy="1754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600982</xdr:colOff>
      <xdr:row>5</xdr:row>
      <xdr:rowOff>228577</xdr:rowOff>
    </xdr:from>
    <xdr:to>
      <xdr:col>18</xdr:col>
      <xdr:colOff>725715</xdr:colOff>
      <xdr:row>12</xdr:row>
      <xdr:rowOff>103247</xdr:rowOff>
    </xdr:to>
    <xdr:graphicFrame macro="">
      <xdr:nvGraphicFramePr>
        <xdr:cNvPr id="14" name="Chart 13">
          <a:extLst>
            <a:ext uri="{FF2B5EF4-FFF2-40B4-BE49-F238E27FC236}">
              <a16:creationId xmlns:a16="http://schemas.microsoft.com/office/drawing/2014/main" id="{E898C21D-EA26-4666-BA74-D59E6105E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91907</xdr:colOff>
      <xdr:row>1</xdr:row>
      <xdr:rowOff>91907</xdr:rowOff>
    </xdr:from>
    <xdr:to>
      <xdr:col>2</xdr:col>
      <xdr:colOff>467895</xdr:colOff>
      <xdr:row>5</xdr:row>
      <xdr:rowOff>125329</xdr:rowOff>
    </xdr:to>
    <xdr:sp macro="" textlink="">
      <xdr:nvSpPr>
        <xdr:cNvPr id="7" name="Rectangle: Rounded Corners 6">
          <a:extLst>
            <a:ext uri="{FF2B5EF4-FFF2-40B4-BE49-F238E27FC236}">
              <a16:creationId xmlns:a16="http://schemas.microsoft.com/office/drawing/2014/main" id="{6C6FC971-FF06-6CE7-1A16-14564C82DC57}"/>
            </a:ext>
          </a:extLst>
        </xdr:cNvPr>
        <xdr:cNvSpPr/>
      </xdr:nvSpPr>
      <xdr:spPr>
        <a:xfrm>
          <a:off x="91907" y="593223"/>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674603</xdr:colOff>
      <xdr:row>1</xdr:row>
      <xdr:rowOff>110625</xdr:rowOff>
    </xdr:from>
    <xdr:to>
      <xdr:col>5</xdr:col>
      <xdr:colOff>240130</xdr:colOff>
      <xdr:row>5</xdr:row>
      <xdr:rowOff>144047</xdr:rowOff>
    </xdr:to>
    <xdr:sp macro="" textlink="">
      <xdr:nvSpPr>
        <xdr:cNvPr id="8" name="Rectangle: Rounded Corners 7">
          <a:extLst>
            <a:ext uri="{FF2B5EF4-FFF2-40B4-BE49-F238E27FC236}">
              <a16:creationId xmlns:a16="http://schemas.microsoft.com/office/drawing/2014/main" id="{6967ADD0-8111-4BF2-87EF-491B0185129A}"/>
            </a:ext>
          </a:extLst>
        </xdr:cNvPr>
        <xdr:cNvSpPr/>
      </xdr:nvSpPr>
      <xdr:spPr>
        <a:xfrm>
          <a:off x="2295524" y="611941"/>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i="0" u="none" strike="noStrike">
              <a:solidFill>
                <a:schemeClr val="lt1"/>
              </a:solidFill>
              <a:effectLst/>
              <a:latin typeface="+mn-lt"/>
              <a:ea typeface="+mn-ea"/>
              <a:cs typeface="+mn-cs"/>
            </a:rPr>
            <a:t>Total Salary</a:t>
          </a:r>
          <a:r>
            <a:rPr lang="en-IN">
              <a:effectLst/>
            </a:rPr>
            <a:t> </a:t>
          </a:r>
          <a:r>
            <a:rPr lang="en-IN" sz="1100" b="0" i="0" u="none" strike="noStrike">
              <a:solidFill>
                <a:schemeClr val="lt1"/>
              </a:solidFill>
              <a:effectLst/>
              <a:latin typeface="+mn-lt"/>
              <a:ea typeface="+mn-ea"/>
              <a:cs typeface="+mn-cs"/>
            </a:rPr>
            <a:t>₹87,31,200</a:t>
          </a:r>
          <a:r>
            <a:rPr lang="en-IN">
              <a:effectLst/>
            </a:rPr>
            <a:t> </a:t>
          </a:r>
          <a:r>
            <a:rPr lang="en-IN" sz="1100" b="1" i="0" u="none" strike="noStrike">
              <a:solidFill>
                <a:schemeClr val="lt1"/>
              </a:solidFill>
              <a:effectLst/>
              <a:latin typeface="+mn-lt"/>
              <a:ea typeface="+mn-ea"/>
              <a:cs typeface="+mn-cs"/>
            </a:rPr>
            <a:t>Total Salary</a:t>
          </a:r>
          <a:r>
            <a:rPr lang="en-IN">
              <a:effectLst/>
            </a:rPr>
            <a:t> </a:t>
          </a:r>
          <a:r>
            <a:rPr lang="en-IN" sz="1100" b="0" i="0" u="none" strike="noStrike">
              <a:solidFill>
                <a:schemeClr val="lt1"/>
              </a:solidFill>
              <a:effectLst/>
              <a:latin typeface="+mn-lt"/>
              <a:ea typeface="+mn-ea"/>
              <a:cs typeface="+mn-cs"/>
            </a:rPr>
            <a:t>₹87,31,200</a:t>
          </a:r>
          <a:r>
            <a:rPr lang="en-IN">
              <a:effectLst/>
            </a:rPr>
            <a:t> </a:t>
          </a:r>
          <a:endParaRPr lang="en-IN" sz="1100">
            <a:solidFill>
              <a:schemeClr val="lt1"/>
            </a:solidFill>
            <a:latin typeface="+mn-lt"/>
            <a:ea typeface="+mn-ea"/>
            <a:cs typeface="+mn-cs"/>
          </a:endParaRPr>
        </a:p>
      </xdr:txBody>
    </xdr:sp>
    <xdr:clientData/>
  </xdr:twoCellAnchor>
  <xdr:twoCellAnchor>
    <xdr:from>
      <xdr:col>5</xdr:col>
      <xdr:colOff>455193</xdr:colOff>
      <xdr:row>1</xdr:row>
      <xdr:rowOff>95918</xdr:rowOff>
    </xdr:from>
    <xdr:to>
      <xdr:col>8</xdr:col>
      <xdr:colOff>20721</xdr:colOff>
      <xdr:row>5</xdr:row>
      <xdr:rowOff>129340</xdr:rowOff>
    </xdr:to>
    <xdr:sp macro="" textlink="">
      <xdr:nvSpPr>
        <xdr:cNvPr id="16" name="Rectangle: Rounded Corners 15">
          <a:extLst>
            <a:ext uri="{FF2B5EF4-FFF2-40B4-BE49-F238E27FC236}">
              <a16:creationId xmlns:a16="http://schemas.microsoft.com/office/drawing/2014/main" id="{FB91ACF0-C9E7-46C3-8ECA-3D2546C1F320}"/>
            </a:ext>
          </a:extLst>
        </xdr:cNvPr>
        <xdr:cNvSpPr/>
      </xdr:nvSpPr>
      <xdr:spPr>
        <a:xfrm>
          <a:off x="4507496" y="597234"/>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100" b="1" i="0" u="none" strike="noStrike">
              <a:solidFill>
                <a:schemeClr val="lt1"/>
              </a:solidFill>
              <a:effectLst/>
              <a:latin typeface="+mn-lt"/>
              <a:ea typeface="+mn-ea"/>
              <a:cs typeface="+mn-cs"/>
            </a:rPr>
            <a:t> Leave B</a:t>
          </a:r>
          <a:r>
            <a:rPr lang="en-IN" sz="1100" b="1" i="0" u="none" strike="noStrike">
              <a:solidFill>
                <a:srgbClr val="000000"/>
              </a:solidFill>
              <a:effectLst/>
              <a:latin typeface="Calibri" panose="020F0502020204030204" pitchFamily="34" charset="0"/>
            </a:rPr>
            <a:t> </a:t>
          </a:r>
          <a:r>
            <a:rPr lang="en-IN" sz="1100" b="1" i="0" u="none" strike="noStrike">
              <a:solidFill>
                <a:schemeClr val="lt1"/>
              </a:solidFill>
              <a:effectLst/>
              <a:latin typeface="+mn-lt"/>
              <a:ea typeface="+mn-ea"/>
              <a:cs typeface="+mn-cs"/>
            </a:rPr>
            <a:t>LeaEmployee count</a:t>
          </a:r>
          <a:r>
            <a:rPr lang="en-IN">
              <a:effectLst/>
            </a:rPr>
            <a:t> </a:t>
          </a:r>
          <a:r>
            <a:rPr lang="en-IN" sz="1100" b="0" i="0" u="none" strike="noStrike">
              <a:solidFill>
                <a:schemeClr val="lt1"/>
              </a:solidFill>
              <a:effectLst/>
              <a:latin typeface="+mn-lt"/>
              <a:ea typeface="+mn-ea"/>
              <a:cs typeface="+mn-cs"/>
            </a:rPr>
            <a:t>161</a:t>
          </a:r>
          <a:r>
            <a:rPr lang="en-IN">
              <a:effectLst/>
            </a:rPr>
            <a:t> </a:t>
          </a:r>
          <a:r>
            <a:rPr lang="en-IN" sz="1100" b="1" i="0" u="none" strike="noStrike">
              <a:solidFill>
                <a:schemeClr val="lt1"/>
              </a:solidFill>
              <a:effectLst/>
              <a:latin typeface="+mn-lt"/>
              <a:ea typeface="+mn-ea"/>
              <a:cs typeface="+mn-cs"/>
            </a:rPr>
            <a:t>ve Balance 2643  Balance</a:t>
          </a:r>
          <a:r>
            <a:rPr lang="en-IN">
              <a:effectLst/>
            </a:rPr>
            <a:t> </a:t>
          </a:r>
          <a:r>
            <a:rPr lang="en-IN" sz="1100" b="0" i="0" u="none" strike="noStrike">
              <a:solidFill>
                <a:schemeClr val="lt1"/>
              </a:solidFill>
              <a:effectLst/>
              <a:latin typeface="+mn-lt"/>
              <a:ea typeface="+mn-ea"/>
              <a:cs typeface="+mn-cs"/>
            </a:rPr>
            <a:t>2643</a:t>
          </a:r>
          <a:r>
            <a:rPr lang="en-IN">
              <a:effectLst/>
            </a:rPr>
            <a:t> </a:t>
          </a:r>
          <a:r>
            <a:rPr lang="en-IN" sz="1100" b="1" i="0" u="none" strike="noStrike">
              <a:solidFill>
                <a:schemeClr val="lt1"/>
              </a:solidFill>
              <a:effectLst/>
              <a:latin typeface="+mn-lt"/>
              <a:ea typeface="+mn-ea"/>
              <a:cs typeface="+mn-cs"/>
            </a:rPr>
            <a:t> Leave Balance</a:t>
          </a:r>
          <a:r>
            <a:rPr lang="en-IN">
              <a:effectLst/>
            </a:rPr>
            <a:t> </a:t>
          </a:r>
          <a:r>
            <a:rPr lang="en-IN" sz="1100" b="0" i="0" u="none" strike="noStrike">
              <a:solidFill>
                <a:schemeClr val="lt1"/>
              </a:solidFill>
              <a:effectLst/>
              <a:latin typeface="+mn-lt"/>
              <a:ea typeface="+mn-ea"/>
              <a:cs typeface="+mn-cs"/>
            </a:rPr>
            <a:t>2643</a:t>
          </a:r>
          <a:r>
            <a:rPr lang="en-IN">
              <a:effectLst/>
            </a:rPr>
            <a:t> </a:t>
          </a:r>
          <a:endParaRPr lang="en-IN" sz="1100">
            <a:solidFill>
              <a:schemeClr val="lt1"/>
            </a:solidFill>
            <a:latin typeface="+mn-lt"/>
            <a:ea typeface="+mn-ea"/>
            <a:cs typeface="+mn-cs"/>
          </a:endParaRPr>
        </a:p>
      </xdr:txBody>
    </xdr:sp>
    <xdr:clientData/>
  </xdr:twoCellAnchor>
  <xdr:twoCellAnchor>
    <xdr:from>
      <xdr:col>8</xdr:col>
      <xdr:colOff>219074</xdr:colOff>
      <xdr:row>1</xdr:row>
      <xdr:rowOff>72857</xdr:rowOff>
    </xdr:from>
    <xdr:to>
      <xdr:col>10</xdr:col>
      <xdr:colOff>595062</xdr:colOff>
      <xdr:row>5</xdr:row>
      <xdr:rowOff>106279</xdr:rowOff>
    </xdr:to>
    <xdr:sp macro="" textlink="">
      <xdr:nvSpPr>
        <xdr:cNvPr id="17" name="Rectangle: Rounded Corners 16">
          <a:extLst>
            <a:ext uri="{FF2B5EF4-FFF2-40B4-BE49-F238E27FC236}">
              <a16:creationId xmlns:a16="http://schemas.microsoft.com/office/drawing/2014/main" id="{7DA4DCB9-22CE-49C3-B739-8CC386D0DF9C}"/>
            </a:ext>
          </a:extLst>
        </xdr:cNvPr>
        <xdr:cNvSpPr/>
      </xdr:nvSpPr>
      <xdr:spPr>
        <a:xfrm>
          <a:off x="6702758" y="574173"/>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i="0" u="none" strike="noStrike">
              <a:solidFill>
                <a:schemeClr val="lt1"/>
              </a:solidFill>
              <a:effectLst/>
              <a:latin typeface="+mn-lt"/>
              <a:ea typeface="+mn-ea"/>
              <a:cs typeface="+mn-cs"/>
            </a:rPr>
            <a:t> Leave Balance</a:t>
          </a:r>
          <a:r>
            <a:rPr lang="en-IN">
              <a:effectLst/>
            </a:rPr>
            <a:t> </a:t>
          </a:r>
          <a:r>
            <a:rPr lang="en-IN" sz="1100" b="0" i="0" u="none" strike="noStrike">
              <a:solidFill>
                <a:schemeClr val="lt1"/>
              </a:solidFill>
              <a:effectLst/>
              <a:latin typeface="+mn-lt"/>
              <a:ea typeface="+mn-ea"/>
              <a:cs typeface="+mn-cs"/>
            </a:rPr>
            <a:t>2643</a:t>
          </a:r>
          <a:r>
            <a:rPr lang="en-IN">
              <a:effectLst/>
            </a:rPr>
            <a:t> </a:t>
          </a:r>
          <a:endParaRPr lang="en-IN" sz="1100">
            <a:solidFill>
              <a:schemeClr val="lt1"/>
            </a:solidFill>
            <a:latin typeface="+mn-lt"/>
            <a:ea typeface="+mn-ea"/>
            <a:cs typeface="+mn-cs"/>
          </a:endParaRPr>
        </a:p>
      </xdr:txBody>
    </xdr:sp>
    <xdr:clientData/>
  </xdr:twoCellAnchor>
  <xdr:twoCellAnchor>
    <xdr:from>
      <xdr:col>10</xdr:col>
      <xdr:colOff>801770</xdr:colOff>
      <xdr:row>1</xdr:row>
      <xdr:rowOff>93576</xdr:rowOff>
    </xdr:from>
    <xdr:to>
      <xdr:col>13</xdr:col>
      <xdr:colOff>367297</xdr:colOff>
      <xdr:row>5</xdr:row>
      <xdr:rowOff>126998</xdr:rowOff>
    </xdr:to>
    <xdr:sp macro="" textlink="">
      <xdr:nvSpPr>
        <xdr:cNvPr id="19" name="Rectangle: Rounded Corners 18">
          <a:extLst>
            <a:ext uri="{FF2B5EF4-FFF2-40B4-BE49-F238E27FC236}">
              <a16:creationId xmlns:a16="http://schemas.microsoft.com/office/drawing/2014/main" id="{839AD8A1-84C1-4A24-8BA6-2261938CAAEE}"/>
            </a:ext>
          </a:extLst>
        </xdr:cNvPr>
        <xdr:cNvSpPr/>
      </xdr:nvSpPr>
      <xdr:spPr>
        <a:xfrm>
          <a:off x="8906375" y="594892"/>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346241</xdr:colOff>
      <xdr:row>1</xdr:row>
      <xdr:rowOff>62162</xdr:rowOff>
    </xdr:from>
    <xdr:to>
      <xdr:col>18</xdr:col>
      <xdr:colOff>722229</xdr:colOff>
      <xdr:row>5</xdr:row>
      <xdr:rowOff>95584</xdr:rowOff>
    </xdr:to>
    <xdr:sp macro="" textlink="">
      <xdr:nvSpPr>
        <xdr:cNvPr id="21" name="Rectangle: Rounded Corners 20">
          <a:extLst>
            <a:ext uri="{FF2B5EF4-FFF2-40B4-BE49-F238E27FC236}">
              <a16:creationId xmlns:a16="http://schemas.microsoft.com/office/drawing/2014/main" id="{626BDD9E-89B0-4873-88CA-E22D5E126B72}"/>
            </a:ext>
          </a:extLst>
        </xdr:cNvPr>
        <xdr:cNvSpPr/>
      </xdr:nvSpPr>
      <xdr:spPr>
        <a:xfrm>
          <a:off x="13313609" y="563478"/>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557295</xdr:colOff>
      <xdr:row>1</xdr:row>
      <xdr:rowOff>78871</xdr:rowOff>
    </xdr:from>
    <xdr:to>
      <xdr:col>16</xdr:col>
      <xdr:colOff>122823</xdr:colOff>
      <xdr:row>5</xdr:row>
      <xdr:rowOff>112293</xdr:rowOff>
    </xdr:to>
    <xdr:sp macro="" textlink="">
      <xdr:nvSpPr>
        <xdr:cNvPr id="25" name="Rectangle: Rounded Corners 24">
          <a:extLst>
            <a:ext uri="{FF2B5EF4-FFF2-40B4-BE49-F238E27FC236}">
              <a16:creationId xmlns:a16="http://schemas.microsoft.com/office/drawing/2014/main" id="{3F5A424F-1031-495E-9D0E-9A7F9A6D82D5}"/>
            </a:ext>
          </a:extLst>
        </xdr:cNvPr>
        <xdr:cNvSpPr/>
      </xdr:nvSpPr>
      <xdr:spPr>
        <a:xfrm>
          <a:off x="11093282" y="580187"/>
          <a:ext cx="1996909" cy="96921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0</xdr:col>
      <xdr:colOff>233947</xdr:colOff>
      <xdr:row>1</xdr:row>
      <xdr:rowOff>116973</xdr:rowOff>
    </xdr:from>
    <xdr:to>
      <xdr:col>2</xdr:col>
      <xdr:colOff>309145</xdr:colOff>
      <xdr:row>3</xdr:row>
      <xdr:rowOff>123322</xdr:rowOff>
    </xdr:to>
    <xdr:pic>
      <xdr:nvPicPr>
        <xdr:cNvPr id="26" name="Picture 25">
          <a:extLst>
            <a:ext uri="{FF2B5EF4-FFF2-40B4-BE49-F238E27FC236}">
              <a16:creationId xmlns:a16="http://schemas.microsoft.com/office/drawing/2014/main" id="{0D8EA55E-A133-FD00-5583-51864C98D46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3947" y="618289"/>
          <a:ext cx="1704474" cy="474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200526</xdr:colOff>
      <xdr:row>4</xdr:row>
      <xdr:rowOff>7106</xdr:rowOff>
    </xdr:from>
    <xdr:to>
      <xdr:col>2</xdr:col>
      <xdr:colOff>305498</xdr:colOff>
      <xdr:row>5</xdr:row>
      <xdr:rowOff>100263</xdr:rowOff>
    </xdr:to>
    <xdr:pic>
      <xdr:nvPicPr>
        <xdr:cNvPr id="27" name="Picture 26">
          <a:extLst>
            <a:ext uri="{FF2B5EF4-FFF2-40B4-BE49-F238E27FC236}">
              <a16:creationId xmlns:a16="http://schemas.microsoft.com/office/drawing/2014/main" id="{759C6A3B-F1DE-8C57-ECBE-E5F20AA7002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526" y="1210264"/>
          <a:ext cx="1734248" cy="327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150394</xdr:colOff>
      <xdr:row>3</xdr:row>
      <xdr:rowOff>217237</xdr:rowOff>
    </xdr:from>
    <xdr:to>
      <xdr:col>5</xdr:col>
      <xdr:colOff>33714</xdr:colOff>
      <xdr:row>5</xdr:row>
      <xdr:rowOff>91909</xdr:rowOff>
    </xdr:to>
    <xdr:pic>
      <xdr:nvPicPr>
        <xdr:cNvPr id="29" name="Picture 28">
          <a:extLst>
            <a:ext uri="{FF2B5EF4-FFF2-40B4-BE49-F238E27FC236}">
              <a16:creationId xmlns:a16="http://schemas.microsoft.com/office/drawing/2014/main" id="{8246DE20-CF1B-E31F-0096-C91276F6933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81776" y="1186448"/>
          <a:ext cx="1504241" cy="3425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526381</xdr:colOff>
      <xdr:row>1</xdr:row>
      <xdr:rowOff>133683</xdr:rowOff>
    </xdr:from>
    <xdr:to>
      <xdr:col>10</xdr:col>
      <xdr:colOff>242302</xdr:colOff>
      <xdr:row>3</xdr:row>
      <xdr:rowOff>175460</xdr:rowOff>
    </xdr:to>
    <xdr:pic>
      <xdr:nvPicPr>
        <xdr:cNvPr id="31" name="Picture 30">
          <a:extLst>
            <a:ext uri="{FF2B5EF4-FFF2-40B4-BE49-F238E27FC236}">
              <a16:creationId xmlns:a16="http://schemas.microsoft.com/office/drawing/2014/main" id="{9F1360AF-4B91-2FD2-5E82-582205F1D7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018420" y="634999"/>
          <a:ext cx="1336843" cy="5096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459539</xdr:colOff>
      <xdr:row>3</xdr:row>
      <xdr:rowOff>200526</xdr:rowOff>
    </xdr:from>
    <xdr:to>
      <xdr:col>10</xdr:col>
      <xdr:colOff>342565</xdr:colOff>
      <xdr:row>5</xdr:row>
      <xdr:rowOff>95986</xdr:rowOff>
    </xdr:to>
    <xdr:pic>
      <xdr:nvPicPr>
        <xdr:cNvPr id="32" name="Picture 31">
          <a:extLst>
            <a:ext uri="{FF2B5EF4-FFF2-40B4-BE49-F238E27FC236}">
              <a16:creationId xmlns:a16="http://schemas.microsoft.com/office/drawing/2014/main" id="{3E882502-20DC-7A82-D794-90657B15901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943223" y="1169737"/>
          <a:ext cx="1503948" cy="363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158218</xdr:colOff>
      <xdr:row>3</xdr:row>
      <xdr:rowOff>183814</xdr:rowOff>
    </xdr:from>
    <xdr:to>
      <xdr:col>13</xdr:col>
      <xdr:colOff>243304</xdr:colOff>
      <xdr:row>5</xdr:row>
      <xdr:rowOff>16710</xdr:rowOff>
    </xdr:to>
    <xdr:pic>
      <xdr:nvPicPr>
        <xdr:cNvPr id="34" name="Picture 33">
          <a:extLst>
            <a:ext uri="{FF2B5EF4-FFF2-40B4-BE49-F238E27FC236}">
              <a16:creationId xmlns:a16="http://schemas.microsoft.com/office/drawing/2014/main" id="{2022D3BE-580E-0095-4AB8-DADABE98BDB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073284" y="1153025"/>
          <a:ext cx="1706007" cy="300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41777</xdr:colOff>
      <xdr:row>3</xdr:row>
      <xdr:rowOff>233945</xdr:rowOff>
    </xdr:from>
    <xdr:to>
      <xdr:col>15</xdr:col>
      <xdr:colOff>626646</xdr:colOff>
      <xdr:row>5</xdr:row>
      <xdr:rowOff>77328</xdr:rowOff>
    </xdr:to>
    <xdr:pic>
      <xdr:nvPicPr>
        <xdr:cNvPr id="36" name="Picture 35">
          <a:extLst>
            <a:ext uri="{FF2B5EF4-FFF2-40B4-BE49-F238E27FC236}">
              <a16:creationId xmlns:a16="http://schemas.microsoft.com/office/drawing/2014/main" id="{113FEE69-15FF-0567-3CDF-3309164D220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388224" y="1203156"/>
          <a:ext cx="1395329" cy="3112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682149</xdr:colOff>
      <xdr:row>1</xdr:row>
      <xdr:rowOff>108022</xdr:rowOff>
    </xdr:from>
    <xdr:to>
      <xdr:col>18</xdr:col>
      <xdr:colOff>356294</xdr:colOff>
      <xdr:row>3</xdr:row>
      <xdr:rowOff>114372</xdr:rowOff>
    </xdr:to>
    <xdr:pic>
      <xdr:nvPicPr>
        <xdr:cNvPr id="37" name="Picture 36">
          <a:extLst>
            <a:ext uri="{FF2B5EF4-FFF2-40B4-BE49-F238E27FC236}">
              <a16:creationId xmlns:a16="http://schemas.microsoft.com/office/drawing/2014/main" id="{4DAED87A-D421-9E34-6319-39E6CCED1C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3745006" y="606951"/>
          <a:ext cx="1307002" cy="48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125330</xdr:colOff>
      <xdr:row>1</xdr:row>
      <xdr:rowOff>142038</xdr:rowOff>
    </xdr:from>
    <xdr:to>
      <xdr:col>15</xdr:col>
      <xdr:colOff>584870</xdr:colOff>
      <xdr:row>3</xdr:row>
      <xdr:rowOff>148388</xdr:rowOff>
    </xdr:to>
    <xdr:pic>
      <xdr:nvPicPr>
        <xdr:cNvPr id="38" name="Picture 37">
          <a:extLst>
            <a:ext uri="{FF2B5EF4-FFF2-40B4-BE49-F238E27FC236}">
              <a16:creationId xmlns:a16="http://schemas.microsoft.com/office/drawing/2014/main" id="{3FCE3240-F813-10D6-DDE1-A9FE9DF6A89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480133" y="643354"/>
          <a:ext cx="1270000" cy="47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593224</xdr:colOff>
      <xdr:row>3</xdr:row>
      <xdr:rowOff>152306</xdr:rowOff>
    </xdr:from>
    <xdr:to>
      <xdr:col>18</xdr:col>
      <xdr:colOff>335215</xdr:colOff>
      <xdr:row>5</xdr:row>
      <xdr:rowOff>1118</xdr:rowOff>
    </xdr:to>
    <xdr:pic>
      <xdr:nvPicPr>
        <xdr:cNvPr id="39" name="Picture 38">
          <a:extLst>
            <a:ext uri="{FF2B5EF4-FFF2-40B4-BE49-F238E27FC236}">
              <a16:creationId xmlns:a16="http://schemas.microsoft.com/office/drawing/2014/main" id="{E2B7D2ED-E667-F5F9-CF3D-100E6D8991D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3560592" y="1121517"/>
          <a:ext cx="1362912" cy="31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793751</xdr:colOff>
      <xdr:row>1</xdr:row>
      <xdr:rowOff>125329</xdr:rowOff>
    </xdr:from>
    <xdr:to>
      <xdr:col>7</xdr:col>
      <xdr:colOff>484606</xdr:colOff>
      <xdr:row>3</xdr:row>
      <xdr:rowOff>133684</xdr:rowOff>
    </xdr:to>
    <xdr:pic>
      <xdr:nvPicPr>
        <xdr:cNvPr id="40" name="Picture 39">
          <a:extLst>
            <a:ext uri="{FF2B5EF4-FFF2-40B4-BE49-F238E27FC236}">
              <a16:creationId xmlns:a16="http://schemas.microsoft.com/office/drawing/2014/main" id="{B7057B8F-D8FF-C872-6406-807A504A4E3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854409" y="626645"/>
          <a:ext cx="1311776"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701842</xdr:colOff>
      <xdr:row>3</xdr:row>
      <xdr:rowOff>217236</xdr:rowOff>
    </xdr:from>
    <xdr:to>
      <xdr:col>7</xdr:col>
      <xdr:colOff>564482</xdr:colOff>
      <xdr:row>5</xdr:row>
      <xdr:rowOff>56344</xdr:rowOff>
    </xdr:to>
    <xdr:pic>
      <xdr:nvPicPr>
        <xdr:cNvPr id="41" name="Picture 40">
          <a:extLst>
            <a:ext uri="{FF2B5EF4-FFF2-40B4-BE49-F238E27FC236}">
              <a16:creationId xmlns:a16="http://schemas.microsoft.com/office/drawing/2014/main" id="{829CDDFA-7DBC-0CD6-698A-D2B693CDB2E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4754145" y="1186447"/>
          <a:ext cx="1483561" cy="307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133685</xdr:colOff>
      <xdr:row>1</xdr:row>
      <xdr:rowOff>150395</xdr:rowOff>
    </xdr:from>
    <xdr:to>
      <xdr:col>4</xdr:col>
      <xdr:colOff>567827</xdr:colOff>
      <xdr:row>3</xdr:row>
      <xdr:rowOff>100263</xdr:rowOff>
    </xdr:to>
    <xdr:pic>
      <xdr:nvPicPr>
        <xdr:cNvPr id="22" name="Picture 21">
          <a:extLst>
            <a:ext uri="{FF2B5EF4-FFF2-40B4-BE49-F238E27FC236}">
              <a16:creationId xmlns:a16="http://schemas.microsoft.com/office/drawing/2014/main" id="{75F7427D-749B-8BF9-AB98-5B7A6609AFA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573422" y="651711"/>
          <a:ext cx="1244602" cy="417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242303</xdr:colOff>
      <xdr:row>1</xdr:row>
      <xdr:rowOff>125329</xdr:rowOff>
    </xdr:from>
    <xdr:to>
      <xdr:col>13</xdr:col>
      <xdr:colOff>142040</xdr:colOff>
      <xdr:row>3</xdr:row>
      <xdr:rowOff>150394</xdr:rowOff>
    </xdr:to>
    <xdr:pic>
      <xdr:nvPicPr>
        <xdr:cNvPr id="23" name="Picture 22">
          <a:extLst>
            <a:ext uri="{FF2B5EF4-FFF2-40B4-BE49-F238E27FC236}">
              <a16:creationId xmlns:a16="http://schemas.microsoft.com/office/drawing/2014/main" id="{69D41729-B2A0-3CE5-D4CF-6B16A2A3BB46}"/>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165724" y="626645"/>
          <a:ext cx="1520658" cy="492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622041</xdr:colOff>
      <xdr:row>0</xdr:row>
      <xdr:rowOff>0</xdr:rowOff>
    </xdr:from>
    <xdr:to>
      <xdr:col>18</xdr:col>
      <xdr:colOff>720013</xdr:colOff>
      <xdr:row>1</xdr:row>
      <xdr:rowOff>64796</xdr:rowOff>
    </xdr:to>
    <xdr:pic>
      <xdr:nvPicPr>
        <xdr:cNvPr id="20" name="Graphic 19" descr="Business Growth with solid fill">
          <a:extLst>
            <a:ext uri="{FF2B5EF4-FFF2-40B4-BE49-F238E27FC236}">
              <a16:creationId xmlns:a16="http://schemas.microsoft.com/office/drawing/2014/main" id="{9609EAF8-2CC1-D872-D6EF-C6F25A8610F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501327" y="0"/>
          <a:ext cx="914400" cy="570204"/>
        </a:xfrm>
        <a:prstGeom prst="rect">
          <a:avLst/>
        </a:prstGeom>
      </xdr:spPr>
    </xdr:pic>
    <xdr:clientData/>
  </xdr:twoCellAnchor>
  <xdr:twoCellAnchor editAs="oneCell">
    <xdr:from>
      <xdr:col>0</xdr:col>
      <xdr:colOff>12959</xdr:colOff>
      <xdr:row>0</xdr:row>
      <xdr:rowOff>12959</xdr:rowOff>
    </xdr:from>
    <xdr:to>
      <xdr:col>1</xdr:col>
      <xdr:colOff>110930</xdr:colOff>
      <xdr:row>1</xdr:row>
      <xdr:rowOff>25919</xdr:rowOff>
    </xdr:to>
    <xdr:pic>
      <xdr:nvPicPr>
        <xdr:cNvPr id="28" name="Graphic 27" descr="Business Growth with solid fill">
          <a:extLst>
            <a:ext uri="{FF2B5EF4-FFF2-40B4-BE49-F238E27FC236}">
              <a16:creationId xmlns:a16="http://schemas.microsoft.com/office/drawing/2014/main" id="{B8F7B53B-4C14-410C-7DEA-EBB94EAA4C2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2959" y="12959"/>
          <a:ext cx="914400" cy="518368"/>
        </a:xfrm>
        <a:prstGeom prst="rect">
          <a:avLst/>
        </a:prstGeom>
      </xdr:spPr>
    </xdr:pic>
    <xdr:clientData/>
  </xdr:twoCellAnchor>
  <xdr:twoCellAnchor editAs="oneCell">
    <xdr:from>
      <xdr:col>12</xdr:col>
      <xdr:colOff>181429</xdr:colOff>
      <xdr:row>0</xdr:row>
      <xdr:rowOff>0</xdr:rowOff>
    </xdr:from>
    <xdr:to>
      <xdr:col>13</xdr:col>
      <xdr:colOff>279401</xdr:colOff>
      <xdr:row>0</xdr:row>
      <xdr:rowOff>492449</xdr:rowOff>
    </xdr:to>
    <xdr:pic>
      <xdr:nvPicPr>
        <xdr:cNvPr id="33" name="Graphic 32" descr="Presentation with bar chart with solid fill">
          <a:extLst>
            <a:ext uri="{FF2B5EF4-FFF2-40B4-BE49-F238E27FC236}">
              <a16:creationId xmlns:a16="http://schemas.microsoft.com/office/drawing/2014/main" id="{006EF1CB-57F1-46AF-94DE-28D5265B1074}"/>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978572" y="0"/>
          <a:ext cx="914400" cy="492449"/>
        </a:xfrm>
        <a:prstGeom prst="rect">
          <a:avLst/>
        </a:prstGeom>
      </xdr:spPr>
    </xdr:pic>
    <xdr:clientData/>
  </xdr:twoCellAnchor>
  <xdr:twoCellAnchor editAs="oneCell">
    <xdr:from>
      <xdr:col>5</xdr:col>
      <xdr:colOff>583162</xdr:colOff>
      <xdr:row>0</xdr:row>
      <xdr:rowOff>0</xdr:rowOff>
    </xdr:from>
    <xdr:to>
      <xdr:col>6</xdr:col>
      <xdr:colOff>681134</xdr:colOff>
      <xdr:row>0</xdr:row>
      <xdr:rowOff>479490</xdr:rowOff>
    </xdr:to>
    <xdr:pic>
      <xdr:nvPicPr>
        <xdr:cNvPr id="42" name="Graphic 41" descr="Presentation with bar chart with solid fill">
          <a:extLst>
            <a:ext uri="{FF2B5EF4-FFF2-40B4-BE49-F238E27FC236}">
              <a16:creationId xmlns:a16="http://schemas.microsoft.com/office/drawing/2014/main" id="{3E1B1E61-20CF-7EA4-968E-EF6B8EA5D91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4665305" y="0"/>
          <a:ext cx="914400" cy="4794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Jain" refreshedDate="46101.548406481481" createdVersion="8" refreshedVersion="8" minRefreshableVersion="3" recordCount="161" xr:uid="{E4858B2A-D9D9-4D65-959F-DAD0516D2A5F}">
  <cacheSource type="worksheet">
    <worksheetSource name="Table1"/>
  </cacheSource>
  <cacheFields count="13">
    <cacheField name="S.no" numFmtId="0">
      <sharedItems containsSemiMixedTypes="0" containsString="0" containsNumber="1" containsInteger="1" minValue="1" maxValue="161" count="16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sharedItems>
    </cacheField>
    <cacheField name="Name" numFmtId="0">
      <sharedItems count="148">
        <s v="Barr Faughny"/>
        <s v="Dennison Crosswaite"/>
        <s v="Gunar Cockshoot"/>
        <s v="Wilone O'Kielt"/>
        <s v="Gigi Bohling"/>
        <s v="Curtice Advani"/>
        <s v="Kaine Padly"/>
        <s v="Ches Bonnell"/>
        <s v="Andria Kimpton"/>
        <s v="Brien Boise"/>
        <s v="Husein Augar"/>
        <s v="Karlen McCaffrey"/>
        <s v="Jan Morforth"/>
        <s v="Dotty Strutley"/>
        <s v="Kelci Walkden"/>
        <s v="Marney O'Breen"/>
        <s v="Rafaelita Blaksland"/>
        <s v="Madelene Upcott"/>
        <s v="Beverie Moffet"/>
        <s v="Oby Sorrel"/>
        <s v="Mallorie Waber"/>
        <s v="Jehu Rudeforth"/>
        <s v="Van Tuxwell"/>
        <s v="Roddy Speechley"/>
        <s v="Camilla Castle"/>
        <s v="Janene Hairsine"/>
        <s v="Niall Selesnick"/>
        <s v="Ebonee Roxburgh"/>
        <s v="Zach Polon"/>
        <s v="Orton Livick"/>
        <s v="Gray Seamon"/>
        <s v="Benny Karolovsky"/>
        <s v="Dyna Doucette"/>
        <s v="Erin Androsik"/>
        <s v="Madge McCloughen"/>
        <s v="Esmaria Denecamp"/>
        <s v="Hogan Iles"/>
        <s v="Valentia Etteridge"/>
        <s v="Archibald Filliskirk"/>
        <s v="Lindy Guillet"/>
        <s v="Dell Molloy"/>
        <s v="Ewart Laphorn"/>
        <s v="Vic Radolf"/>
        <s v="Virginia McConville"/>
        <s v="Kaye Crocroft"/>
        <s v="Mollie Hanway"/>
        <s v="Hoyt D'Alesco"/>
        <s v="Crissie Cordel"/>
        <s v="Myer McCory"/>
        <s v="Enoch Dowrey"/>
        <s v="Kissiah Maydway"/>
        <s v="Ambros Murthwaite"/>
        <s v="Torrance Collier"/>
        <s v="Allene Gobbet"/>
        <s v="Violante Courtonne"/>
        <s v="Merrilee Plenty"/>
        <s v="Tatum Hush"/>
        <s v="Kath Bletsoe"/>
        <s v="Hinda Label"/>
        <s v="Shari McNee"/>
        <s v="My Hanscome"/>
        <s v="Drusy MacCombe"/>
        <s v="Halimeda Kuscha"/>
        <s v="William Reeveley"/>
        <s v="Tracy Renad"/>
        <s v="Kassi Jonson"/>
        <s v="Constantino Espley"/>
        <s v="Gretchen Callow"/>
        <s v="Bev Lashley"/>
        <s v="Sibyl Dunkirk"/>
        <s v="Trio Lipa"/>
        <s v="Shayne Stegel"/>
        <s v="Hyacinthie Braybrooke"/>
        <s v="Agnes Collicott"/>
        <s v="Teressa Udden"/>
        <s v="Bennie Pepis"/>
        <s v="Elia Cockton"/>
        <s v="A R Rahadude"/>
        <s v="Murry Dryburgh"/>
        <s v="Mahalia Larcher"/>
        <s v="Bili Sizey"/>
        <s v="Lilyan Klimpt"/>
        <s v="Almond Joy"/>
        <s v="Leilah Yesinin"/>
        <s v="Collin Jagson"/>
        <s v="Kellsie Waby"/>
        <s v="Simon Kembery"/>
        <s v="Tawnya Tickel"/>
        <s v="Bernie Gorges"/>
        <s v="Florinda Crace"/>
        <s v="Oran Buxcy"/>
        <s v="Anvi Verma"/>
        <s v="Zara Mishra"/>
        <s v="Dev Joshi"/>
        <s v="Pari Sharma"/>
        <s v="Aanya Kapoor"/>
        <s v="Kiara Choudhary"/>
        <s v="Reyansh Iyer"/>
        <s v="Samaira Agarwal"/>
        <s v="Avani Malhotra"/>
        <s v="Kiaan Rana"/>
        <s v="Aarav Shah"/>
        <s v="Anaya Gupta"/>
        <s v="Munch Munch"/>
        <s v="Siya Trivedi"/>
        <s v="Kabir Kapoor"/>
        <s v="Rhea Saxena"/>
        <s v="Advait Sharma"/>
        <s v="Aarush Mishra"/>
        <s v="Anika Chawla"/>
        <s v="Zara Verma"/>
        <s v="Dev Agarwal"/>
        <s v="Pari Kumar"/>
        <s v="Aanya Singh"/>
        <s v="Kiara Joshi"/>
        <s v="Reyansh Malhotra"/>
        <s v="M&amp;M Peanut"/>
        <s v="Avani Agarwal"/>
        <s v="Nestle Crunch"/>
        <s v="Aarav Verma"/>
        <s v="Anaya Choudhary"/>
        <s v="Krish Trivedi"/>
        <s v="Siya Rawat"/>
        <s v="Kabir Shah"/>
        <s v="Rhea Bhatia"/>
        <s v="Advait Kumar"/>
        <s v="Aarush Verma"/>
        <s v="Anika Singh"/>
        <s v="Zara Chawla"/>
        <s v="Pari Gupta"/>
        <s v="Aanya Trivedi"/>
        <s v="Kiara Bhatia"/>
        <s v="Reyansh Rana"/>
        <s v="Lindt Truffle"/>
        <s v="Avani Iyer"/>
        <s v="Kiaan Shah"/>
        <s v="Oreo Delight"/>
        <s v="Anaya Agarwal"/>
        <s v="Krish Rawat"/>
        <s v="Siya Sharma"/>
        <s v="Kabir Trivedi"/>
        <s v="Rhea Malhotra"/>
        <s v="Advait Kapoor"/>
        <s v="Zagnut Nut"/>
        <s v="Anika Joshi"/>
        <s v="Dev Chawla"/>
        <s v="Eltin John"/>
        <s v="Michael Walkson"/>
      </sharedItems>
    </cacheField>
    <cacheField name="Emp ID" numFmtId="0">
      <sharedItems count="161">
        <s v="AC0001"/>
        <s v="AC0002"/>
        <s v="AC0003"/>
        <s v="AC0004"/>
        <s v="AC0005"/>
        <s v="AC0006"/>
        <s v="AC0007"/>
        <s v="AC0008"/>
        <s v="AC0009"/>
        <s v="AC0010"/>
        <s v="AC0011"/>
        <s v="AC0012"/>
        <s v="AC0013"/>
        <s v="AC0014"/>
        <s v="AC0015"/>
        <s v="AC0016"/>
        <s v="AC0017"/>
        <s v="AC0018"/>
        <s v="AC0019"/>
        <s v="AC0020"/>
        <s v="AC0021"/>
        <s v="AC0022"/>
        <s v="AC0023"/>
        <s v="AC0024"/>
        <s v="AC0025"/>
        <s v="AC0026"/>
        <s v="AC0027"/>
        <s v="AC0028"/>
        <s v="AC0029"/>
        <s v="AC0030"/>
        <s v="AC0031"/>
        <s v="AC0032"/>
        <s v="AC0033"/>
        <s v="AC0034"/>
        <s v="AC0035"/>
        <s v="AC0036"/>
        <s v="AC0037"/>
        <s v="AC0038"/>
        <s v="AC0039"/>
        <s v="AC0040"/>
        <s v="AC0041"/>
        <s v="AC0042"/>
        <s v="AC0043"/>
        <s v="AC0044"/>
        <s v="AC0045"/>
        <s v="AC0046"/>
        <s v="AC0047"/>
        <s v="AC0048"/>
        <s v="AC0049"/>
        <s v="AC0050"/>
        <s v="AC0051"/>
        <s v="AC0052"/>
        <s v="AC0053"/>
        <s v="AC0054"/>
        <s v="AC0055"/>
        <s v="AC0056"/>
        <s v="AC0057"/>
        <s v="AC0058"/>
        <s v="AC0059"/>
        <s v="AC0060"/>
        <s v="AC0061"/>
        <s v="AC0062"/>
        <s v="AC0063"/>
        <s v="AC0064"/>
        <s v="AC0065"/>
        <s v="AC0066"/>
        <s v="AC0067"/>
        <s v="AC0068"/>
        <s v="AC0069"/>
        <s v="AC0070"/>
        <s v="AC0071"/>
        <s v="AC0072"/>
        <s v="AC0073"/>
        <s v="AC0074"/>
        <s v="AC0075"/>
        <s v="AC0076"/>
        <s v="AC0077"/>
        <s v="AC0078"/>
        <s v="AC0079"/>
        <s v="AC0080"/>
        <s v="AC0081"/>
        <s v="AC0082"/>
        <s v="AC0083"/>
        <s v="AC0084"/>
        <s v="AC0085"/>
        <s v="AC0086"/>
        <s v="AC0087"/>
        <s v="AC0088"/>
        <s v="AC0089"/>
        <s v="AC0090"/>
        <s v="AC0091"/>
        <s v="AC0092"/>
        <s v="AC0093"/>
        <s v="AC0094"/>
        <s v="AC0095"/>
        <s v="AC0096"/>
        <s v="AC0097"/>
        <s v="AC0098"/>
        <s v="AC0099"/>
        <s v="AC0100"/>
        <s v="AC0101"/>
        <s v="AC0102"/>
        <s v="AC0103"/>
        <s v="AC0104"/>
        <s v="AC0105"/>
        <s v="AC0106"/>
        <s v="AC0107"/>
        <s v="AC0108"/>
        <s v="AC0109"/>
        <s v="AC0110"/>
        <s v="AC0111"/>
        <s v="AC0112"/>
        <s v="AC0113"/>
        <s v="AC0114"/>
        <s v="AC0115"/>
        <s v="AC0116"/>
        <s v="AC0117"/>
        <s v="AC0118"/>
        <s v="AC0119"/>
        <s v="AC0120"/>
        <s v="AC0121"/>
        <s v="AC0122"/>
        <s v="AC0123"/>
        <s v="AC0124"/>
        <s v="AC0125"/>
        <s v="AC0126"/>
        <s v="AC0127"/>
        <s v="AC0128"/>
        <s v="AC0129"/>
        <s v="AC0130"/>
        <s v="AC0131"/>
        <s v="AC0132"/>
        <s v="AC0133"/>
        <s v="AC0134"/>
        <s v="AC0135"/>
        <s v="AC0136"/>
        <s v="AC0137"/>
        <s v="AC0138"/>
        <s v="AC0139"/>
        <s v="AC0140"/>
        <s v="AC0141"/>
        <s v="AC0142"/>
        <s v="AC0143"/>
        <s v="AC0144"/>
        <s v="AC0145"/>
        <s v="AC0146"/>
        <s v="AC0147"/>
        <s v="AC0148"/>
        <s v="AC0149"/>
        <s v="AC0150"/>
        <s v="AC0151"/>
        <s v="AC0152"/>
        <s v="AC0153"/>
        <s v="AC0154"/>
        <s v="AC0155"/>
        <s v="AC0156"/>
        <s v="AC0157"/>
        <s v="AC0158"/>
        <s v="AC0159"/>
        <s v="AC0160"/>
        <s v="AC0161"/>
      </sharedItems>
    </cacheField>
    <cacheField name="Gender" numFmtId="0">
      <sharedItems count="2">
        <s v="Male"/>
        <s v="Female"/>
      </sharedItems>
    </cacheField>
    <cacheField name="Education Qualification" numFmtId="0">
      <sharedItems count="4">
        <s v="Bachelor's Degree"/>
        <s v="Diploma"/>
        <s v="High School Diploma"/>
        <s v="Master's Degree"/>
      </sharedItems>
    </cacheField>
    <cacheField name="Date of Join" numFmtId="15">
      <sharedItems containsSemiMixedTypes="0" containsNonDate="0" containsDate="1" containsString="0" minDate="2017-04-11T00:00:00" maxDate="2023-06-23T00:00:00" count="156">
        <d v="2020-06-12T00:00:00"/>
        <d v="2021-02-18T00:00:00"/>
        <d v="2022-09-05T00:00:00"/>
        <d v="2019-11-20T00:00:00"/>
        <d v="2018-04-08T00:00:00"/>
        <d v="2023-03-14T00:00:00"/>
        <d v="2022-01-02T00:00:00"/>
        <d v="2020-07-19T00:00:00"/>
        <d v="2021-11-10T00:00:00"/>
        <d v="2019-06-25T00:00:00"/>
        <d v="2022-08-04T00:00:00"/>
        <d v="2020-02-17T00:00:00"/>
        <d v="2021-10-30T00:00:00"/>
        <d v="2018-09-12T00:00:00"/>
        <d v="2019-03-05T00:00:00"/>
        <d v="2022-05-21T00:00:00"/>
        <d v="2021-08-08T00:00:00"/>
        <d v="2020-11-23T00:00:00"/>
        <d v="2017-07-15T00:00:00"/>
        <d v="2022-03-30T00:00:00"/>
        <d v="2019-09-04T00:00:00"/>
        <d v="2018-06-19T00:00:00"/>
        <d v="2021-01-07T00:00:00"/>
        <d v="2020-08-25T00:00:00"/>
        <d v="2023-02-12T00:00:00"/>
        <d v="2022-11-01T00:00:00"/>
        <d v="2019-04-16T00:00:00"/>
        <d v="2018-10-09T00:00:00"/>
        <d v="2023-05-26T00:00:00"/>
        <d v="2020-01-13T00:00:00"/>
        <d v="2018-07-27T00:00:00"/>
        <d v="2019-03-14T00:00:00"/>
        <d v="2022-09-28T00:00:00"/>
        <d v="2021-04-11T00:00:00"/>
        <d v="2020-01-26T00:00:00"/>
        <d v="2017-08-03T00:00:00"/>
        <d v="2023-03-19T00:00:00"/>
        <d v="2022-10-15T00:00:00"/>
        <d v="2019-06-10T00:00:00"/>
        <d v="2018-05-03T00:00:00"/>
        <d v="2021-09-29T00:00:00"/>
        <d v="2020-02-14T00:00:00"/>
        <d v="2023-01-01T00:00:00"/>
        <d v="2022-11-25T00:00:00"/>
        <d v="2020-04-09T00:00:00"/>
        <d v="2021-10-31T00:00:00"/>
        <d v="2018-08-14T00:00:00"/>
        <d v="2019-03-27T00:00:00"/>
        <d v="2022-07-12T00:00:00"/>
        <d v="2021-04-25T00:00:00"/>
        <d v="2020-09-08T00:00:00"/>
        <d v="2017-04-23T00:00:00"/>
        <d v="2023-02-14T00:00:00"/>
        <d v="2022-12-31T00:00:00"/>
        <d v="2019-06-15T00:00:00"/>
        <d v="2018-10-28T00:00:00"/>
        <d v="2021-12-13T00:00:00"/>
        <d v="2020-07-26T00:00:00"/>
        <d v="2023-06-22T00:00:00"/>
        <d v="2019-09-14T00:00:00"/>
        <d v="2018-04-06T00:00:00"/>
        <d v="2020-01-19T00:00:00"/>
        <d v="2022-07-04T00:00:00"/>
        <d v="2021-08-17T00:00:00"/>
        <d v="2018-12-10T00:00:00"/>
        <d v="2019-09-23T00:00:00"/>
        <d v="2022-02-15T00:00:00"/>
        <d v="2021-06-29T00:00:00"/>
        <d v="2020-03-22T00:00:00"/>
        <d v="2023-01-12T00:00:00"/>
        <d v="2019-06-05T00:00:00"/>
        <d v="2018-09-28T00:00:00"/>
        <d v="2017-04-11T00:00:00"/>
        <d v="2023-02-26T00:00:00"/>
        <d v="2020-07-15T00:00:00"/>
        <d v="2019-10-28T00:00:00"/>
        <d v="2022-04-13T00:00:00"/>
        <d v="2021-05-28T00:00:00"/>
        <d v="2020-06-21T00:00:00"/>
        <d v="2018-09-04T00:00:00"/>
        <d v="2019-08-20T00:00:00"/>
        <d v="2022-03-09T00:00:00"/>
        <d v="2021-12-22T00:00:00"/>
        <d v="2019-07-15T00:00:00"/>
        <d v="2023-04-27T00:00:00"/>
        <d v="2020-05-10T00:00:00"/>
        <d v="2021-02-03T00:00:00"/>
        <d v="2022-05-19T00:00:00"/>
        <d v="2019-08-14T00:00:00"/>
        <d v="2018-11-27T00:00:00"/>
        <d v="2017-06-10T00:00:00"/>
        <d v="2020-09-02T00:00:00"/>
        <d v="2019-07-17T00:00:00"/>
        <d v="2023-05-04T00:00:00"/>
        <d v="2021-10-28T00:00:00"/>
        <d v="2020-02-12T00:00:00"/>
        <d v="2019-05-27T00:00:00"/>
        <d v="2022-12-12T00:00:00"/>
        <d v="2021-04-26T00:00:00"/>
        <d v="2018-09-09T00:00:00"/>
        <d v="2017-10-31T00:00:00"/>
        <d v="2023-01-15T00:00:00"/>
        <d v="2020-06-28T00:00:00"/>
        <d v="2019-09-11T00:00:00"/>
        <d v="2022-03-04T00:00:00"/>
        <d v="2021-06-17T00:00:00"/>
        <d v="2018-11-30T00:00:00"/>
        <d v="2017-07-23T00:00:00"/>
        <d v="2023-05-11T00:00:00"/>
        <d v="2020-10-24T00:00:00"/>
        <d v="2019-04-15T00:00:00"/>
        <d v="2018-09-08T00:00:00"/>
        <d v="2021-11-29T00:00:00"/>
        <d v="2020-07-13T00:00:00"/>
        <d v="2019-03-28T00:00:00"/>
        <d v="2022-08-12T00:00:00"/>
        <d v="2021-05-25T00:00:00"/>
        <d v="2018-10-18T00:00:00"/>
        <d v="2017-05-11T00:00:00"/>
        <d v="2023-01-26T00:00:00"/>
        <d v="2020-07-09T00:00:00"/>
        <d v="2019-10-01T00:00:00"/>
        <d v="2022-02-14T00:00:00"/>
        <d v="2021-07-29T00:00:00"/>
        <d v="2018-11-21T00:00:00"/>
        <d v="2017-06-14T00:00:00"/>
        <d v="2023-01-07T00:00:00"/>
        <d v="2020-07-30T00:00:00"/>
        <d v="2019-12-23T00:00:00"/>
        <d v="2018-09-16T00:00:00"/>
        <d v="2022-02-07T00:00:00"/>
        <d v="2021-06-22T00:00:00"/>
        <d v="2020-09-15T00:00:00"/>
        <d v="2019-11-28T00:00:00"/>
        <d v="2021-05-05T00:00:00"/>
        <d v="2022-05-11T00:00:00"/>
        <d v="2021-09-24T00:00:00"/>
        <d v="2020-12-17T00:00:00"/>
        <d v="2023-02-08T00:00:00"/>
        <d v="2021-07-24T00:00:00"/>
        <d v="2019-11-17T00:00:00"/>
        <d v="2018-10-10T00:00:00"/>
        <d v="2020-02-03T00:00:00"/>
        <d v="2019-07-27T00:00:00"/>
        <d v="2021-11-20T00:00:00"/>
        <d v="2020-05-13T00:00:00"/>
        <d v="2019-08-06T00:00:00"/>
        <d v="2023-03-01T00:00:00"/>
        <d v="2020-09-17T00:00:00"/>
        <d v="2019-12-10T00:00:00"/>
        <d v="2018-11-03T00:00:00"/>
        <d v="2017-11-26T00:00:00"/>
        <d v="2023-04-09T00:00:00"/>
        <d v="2020-06-02T00:00:00"/>
        <d v="2019-08-26T00:00:00"/>
        <d v="2022-03-19T00:00:00"/>
      </sharedItems>
      <fieldGroup par="12"/>
    </cacheField>
    <cacheField name="Job Title" numFmtId="0">
      <sharedItems count="10">
        <s v="Chocolatier"/>
        <s v="Production Operator"/>
        <s v="Packaging Associate"/>
        <s v="Marketing Specialist"/>
        <s v="Research Scientist"/>
        <s v="Sales Representative"/>
        <s v="Quality Control"/>
        <s v="Research Analyst"/>
        <s v="Product Manager"/>
        <s v="Marketing Manager"/>
      </sharedItems>
    </cacheField>
    <cacheField name="Salary" numFmtId="164">
      <sharedItems containsSemiMixedTypes="0" containsString="0" containsNumber="1" containsInteger="1" minValue="28900" maxValue="85000" count="135">
        <n v="51300"/>
        <n v="38300"/>
        <n v="31400"/>
        <n v="60700"/>
        <n v="77300"/>
        <n v="49800"/>
        <n v="33000"/>
        <n v="41900"/>
        <n v="58100"/>
        <n v="82900"/>
        <n v="28900"/>
        <n v="37300"/>
        <n v="52700"/>
        <n v="74700"/>
        <n v="55600"/>
        <n v="32900"/>
        <n v="41500"/>
        <n v="49400"/>
        <n v="82700"/>
        <n v="38200"/>
        <n v="32600"/>
        <n v="76800"/>
        <n v="62300"/>
        <n v="46200"/>
        <n v="32500"/>
        <n v="43100"/>
        <n v="60000"/>
        <n v="82100"/>
        <n v="35900"/>
        <n v="31100"/>
        <n v="74200"/>
        <n v="57100"/>
        <n v="35200"/>
        <n v="42800"/>
        <n v="46900"/>
        <n v="80700"/>
        <n v="36500"/>
        <n v="31900"/>
        <n v="61400"/>
        <n v="79300"/>
        <n v="49000"/>
        <n v="44800"/>
        <n v="29700"/>
        <n v="39700"/>
        <n v="52500"/>
        <n v="73500"/>
        <n v="57800"/>
        <n v="34900"/>
        <n v="44400"/>
        <n v="46000"/>
        <n v="84800"/>
        <n v="39300"/>
        <n v="29000"/>
        <n v="53900"/>
        <n v="63600"/>
        <n v="77000"/>
        <n v="49700"/>
        <n v="43000"/>
        <n v="36200"/>
        <n v="70800"/>
        <n v="55700"/>
        <n v="83600"/>
        <n v="39800"/>
        <n v="51400"/>
        <n v="63100"/>
        <n v="76300"/>
        <n v="47800"/>
        <n v="33600"/>
        <n v="37000"/>
        <n v="56700"/>
        <n v="84700"/>
        <n v="74800"/>
        <n v="78400"/>
        <n v="48300"/>
        <n v="42100"/>
        <n v="36000"/>
        <n v="37700"/>
        <n v="56900"/>
        <n v="81600"/>
        <n v="51200"/>
        <n v="76700"/>
        <n v="36400"/>
        <n v="54900"/>
        <n v="58700"/>
        <n v="81100"/>
        <n v="51100"/>
        <n v="63500"/>
        <n v="78900"/>
        <n v="38800"/>
        <n v="82800"/>
        <n v="73900"/>
        <n v="76100"/>
        <n v="45500"/>
        <n v="44600"/>
        <n v="36100"/>
        <n v="35500"/>
        <n v="58000"/>
        <n v="81400"/>
        <n v="51000"/>
        <n v="61600"/>
        <n v="77100"/>
        <n v="47900"/>
        <n v="35100"/>
        <n v="59200"/>
        <n v="85000"/>
        <n v="74900"/>
        <n v="77500"/>
        <n v="45900"/>
        <n v="45000"/>
        <n v="33100"/>
        <n v="37600"/>
        <n v="58300"/>
        <n v="83900"/>
        <n v="62900"/>
        <n v="79200"/>
        <n v="47000"/>
        <n v="42400"/>
        <n v="33800"/>
        <n v="58500"/>
        <n v="83200"/>
        <n v="73200"/>
        <n v="77800"/>
        <n v="41800"/>
        <n v="59500"/>
        <n v="82400"/>
        <n v="61200"/>
        <n v="78200"/>
        <n v="48100"/>
        <n v="44000"/>
        <n v="37400"/>
        <n v="82300"/>
        <n v="52900"/>
        <n v="71100"/>
        <n v="76900"/>
        <n v="46400"/>
      </sharedItems>
    </cacheField>
    <cacheField name="Age" numFmtId="0">
      <sharedItems containsSemiMixedTypes="0" containsString="0" containsNumber="1" minValue="23.5" maxValue="66.7" count="102">
        <n v="26"/>
        <n v="32.700000000000003"/>
        <n v="34.299999999999997"/>
        <n v="29.6"/>
        <n v="30.3"/>
        <n v="37.700000000000003"/>
        <n v="31.8"/>
        <n v="35.9"/>
        <n v="31"/>
        <n v="31.1"/>
        <n v="35"/>
        <n v="28.5"/>
        <n v="52.4"/>
        <n v="35.4"/>
        <n v="29.8"/>
        <n v="32.299999999999997"/>
        <n v="33.5"/>
        <n v="31.5"/>
        <n v="33.799999999999997"/>
        <n v="30.1"/>
        <n v="63.7"/>
        <n v="28.8"/>
        <n v="29.9"/>
        <n v="27"/>
        <n v="30.6"/>
        <n v="28.7"/>
        <n v="33.700000000000003"/>
        <n v="31.2"/>
        <n v="34.9"/>
        <n v="26.1"/>
        <n v="23.5"/>
        <n v="32.200000000000003"/>
        <n v="37.799999999999997"/>
        <n v="35.299999999999997"/>
        <n v="30"/>
        <n v="55.9"/>
        <n v="62.6"/>
        <n v="34.200000000000003"/>
        <n v="30.2"/>
        <n v="53.5"/>
        <n v="34.4"/>
        <n v="37.9"/>
        <n v="30.4"/>
        <n v="32.5"/>
        <n v="36.299999999999997"/>
        <n v="30.9"/>
        <n v="33.6"/>
        <n v="36"/>
        <n v="36.799999999999997"/>
        <n v="31.6"/>
        <n v="33.1"/>
        <n v="31.3"/>
        <n v="33.9"/>
        <n v="65.400000000000006"/>
        <n v="27.7"/>
        <n v="33.4"/>
        <n v="46"/>
        <n v="33"/>
        <n v="34.799999999999997"/>
        <n v="30.5"/>
        <n v="61.7"/>
        <n v="42.6"/>
        <n v="31.4"/>
        <n v="50.3"/>
        <n v="60.8"/>
        <n v="39.799999999999997"/>
        <n v="38.299999999999997"/>
        <n v="30.7"/>
        <n v="47.3"/>
        <n v="34.6"/>
        <n v="36.200000000000003"/>
        <n v="38"/>
        <n v="35.1"/>
        <n v="39.5"/>
        <n v="31.9"/>
        <n v="36.6"/>
        <n v="51.8"/>
        <n v="35.6"/>
        <n v="28"/>
        <n v="29.3"/>
        <n v="27.2"/>
        <n v="35.200000000000003"/>
        <n v="31.7"/>
        <n v="28.2"/>
        <n v="35.700000000000003"/>
        <n v="65.099999999999994"/>
        <n v="29.5"/>
        <n v="37.4"/>
        <n v="29.4"/>
        <n v="66.2"/>
        <n v="66.7"/>
        <n v="28.9"/>
        <n v="36.1"/>
        <n v="28.6"/>
        <n v="30.8"/>
        <n v="61.1"/>
        <n v="44.1"/>
        <n v="27.6"/>
        <n v="37.200000000000003"/>
        <n v="46.2"/>
        <n v="33.200000000000003"/>
        <n v="37.1"/>
      </sharedItems>
    </cacheField>
    <cacheField name="Leave Balance" numFmtId="0">
      <sharedItems containsSemiMixedTypes="0" containsString="0" containsNumber="1" containsInteger="1" minValue="2" maxValue="37"/>
    </cacheField>
    <cacheField name="Months (Date of Join)" numFmtId="0" databaseField="0">
      <fieldGroup base="5">
        <rangePr groupBy="months" startDate="2017-04-11T00:00:00" endDate="2023-06-23T00:00:00"/>
        <groupItems count="14">
          <s v="&lt;11-04-2017"/>
          <s v="Jan"/>
          <s v="Feb"/>
          <s v="Mar"/>
          <s v="Apr"/>
          <s v="May"/>
          <s v="Jun"/>
          <s v="Jul"/>
          <s v="Aug"/>
          <s v="Sep"/>
          <s v="Oct"/>
          <s v="Nov"/>
          <s v="Dec"/>
          <s v="&gt;23-06-2023"/>
        </groupItems>
      </fieldGroup>
    </cacheField>
    <cacheField name="Quarters (Date of Join)" numFmtId="0" databaseField="0">
      <fieldGroup base="5">
        <rangePr groupBy="quarters" startDate="2017-04-11T00:00:00" endDate="2023-06-23T00:00:00"/>
        <groupItems count="6">
          <s v="&lt;11-04-2017"/>
          <s v="Qtr1"/>
          <s v="Qtr2"/>
          <s v="Qtr3"/>
          <s v="Qtr4"/>
          <s v="&gt;23-06-2023"/>
        </groupItems>
      </fieldGroup>
    </cacheField>
    <cacheField name="Years (Date of Join)" numFmtId="0" databaseField="0">
      <fieldGroup base="5">
        <rangePr groupBy="years" startDate="2017-04-11T00:00:00" endDate="2023-06-23T00:00:00"/>
        <groupItems count="9">
          <s v="&lt;11-04-2017"/>
          <s v="2017"/>
          <s v="2018"/>
          <s v="2019"/>
          <s v="2020"/>
          <s v="2021"/>
          <s v="2022"/>
          <s v="2023"/>
          <s v="&gt;23-06-2023"/>
        </groupItems>
      </fieldGroup>
    </cacheField>
  </cacheFields>
  <extLst>
    <ext xmlns:x14="http://schemas.microsoft.com/office/spreadsheetml/2009/9/main" uri="{725AE2AE-9491-48be-B2B4-4EB974FC3084}">
      <x14:pivotCacheDefinition pivotCacheId="1941938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ka Jain" refreshedDate="46101.928710532404" createdVersion="8" refreshedVersion="8" minRefreshableVersion="3" recordCount="162" xr:uid="{97172EE9-7962-43E7-A3CE-CB1293E2C6E3}">
  <cacheSource type="worksheet">
    <worksheetSource ref="A1:J1048576" sheet="Raw Data"/>
  </cacheSource>
  <cacheFields count="13">
    <cacheField name="S.no" numFmtId="0">
      <sharedItems containsString="0" containsBlank="1" containsNumber="1" containsInteger="1" minValue="1" maxValue="161"/>
    </cacheField>
    <cacheField name="Name" numFmtId="0">
      <sharedItems containsBlank="1"/>
    </cacheField>
    <cacheField name="Emp ID" numFmtId="0">
      <sharedItems containsBlank="1"/>
    </cacheField>
    <cacheField name="Gender" numFmtId="0">
      <sharedItems containsBlank="1"/>
    </cacheField>
    <cacheField name="Education Qualification" numFmtId="0">
      <sharedItems containsBlank="1"/>
    </cacheField>
    <cacheField name="Date of Join" numFmtId="0">
      <sharedItems containsNonDate="0" containsDate="1" containsString="0" containsBlank="1" minDate="2017-04-11T00:00:00" maxDate="2023-06-23T00:00:00" count="157">
        <d v="2020-06-12T00:00:00"/>
        <d v="2021-02-18T00:00:00"/>
        <d v="2022-09-05T00:00:00"/>
        <d v="2019-11-20T00:00:00"/>
        <d v="2018-04-08T00:00:00"/>
        <d v="2023-03-14T00:00:00"/>
        <d v="2022-01-02T00:00:00"/>
        <d v="2020-07-19T00:00:00"/>
        <d v="2021-11-10T00:00:00"/>
        <d v="2019-06-25T00:00:00"/>
        <d v="2022-08-04T00:00:00"/>
        <d v="2020-02-17T00:00:00"/>
        <d v="2021-10-30T00:00:00"/>
        <d v="2018-09-12T00:00:00"/>
        <d v="2019-03-05T00:00:00"/>
        <d v="2022-05-21T00:00:00"/>
        <d v="2021-08-08T00:00:00"/>
        <d v="2020-11-23T00:00:00"/>
        <d v="2017-07-15T00:00:00"/>
        <d v="2022-03-30T00:00:00"/>
        <d v="2019-09-04T00:00:00"/>
        <d v="2018-06-19T00:00:00"/>
        <d v="2021-01-07T00:00:00"/>
        <d v="2020-08-25T00:00:00"/>
        <d v="2023-02-12T00:00:00"/>
        <d v="2022-11-01T00:00:00"/>
        <d v="2019-04-16T00:00:00"/>
        <d v="2018-10-09T00:00:00"/>
        <d v="2023-05-26T00:00:00"/>
        <d v="2020-01-13T00:00:00"/>
        <d v="2018-07-27T00:00:00"/>
        <d v="2019-03-14T00:00:00"/>
        <d v="2022-09-28T00:00:00"/>
        <d v="2021-04-11T00:00:00"/>
        <d v="2020-01-26T00:00:00"/>
        <d v="2017-08-03T00:00:00"/>
        <d v="2023-03-19T00:00:00"/>
        <d v="2022-10-15T00:00:00"/>
        <d v="2019-06-10T00:00:00"/>
        <d v="2018-05-03T00:00:00"/>
        <d v="2021-09-29T00:00:00"/>
        <d v="2020-02-14T00:00:00"/>
        <d v="2023-01-01T00:00:00"/>
        <d v="2022-11-25T00:00:00"/>
        <d v="2020-04-09T00:00:00"/>
        <d v="2021-10-31T00:00:00"/>
        <d v="2018-08-14T00:00:00"/>
        <d v="2019-03-27T00:00:00"/>
        <d v="2022-07-12T00:00:00"/>
        <d v="2021-04-25T00:00:00"/>
        <d v="2020-09-08T00:00:00"/>
        <d v="2017-04-23T00:00:00"/>
        <d v="2023-02-14T00:00:00"/>
        <d v="2022-12-31T00:00:00"/>
        <d v="2019-06-15T00:00:00"/>
        <d v="2018-10-28T00:00:00"/>
        <d v="2021-12-13T00:00:00"/>
        <d v="2020-07-26T00:00:00"/>
        <d v="2023-06-22T00:00:00"/>
        <d v="2019-09-14T00:00:00"/>
        <d v="2018-04-06T00:00:00"/>
        <d v="2020-01-19T00:00:00"/>
        <d v="2022-07-04T00:00:00"/>
        <d v="2021-08-17T00:00:00"/>
        <d v="2018-12-10T00:00:00"/>
        <d v="2019-09-23T00:00:00"/>
        <d v="2022-02-15T00:00:00"/>
        <d v="2021-06-29T00:00:00"/>
        <d v="2020-03-22T00:00:00"/>
        <d v="2023-01-12T00:00:00"/>
        <d v="2019-06-05T00:00:00"/>
        <d v="2018-09-28T00:00:00"/>
        <d v="2017-04-11T00:00:00"/>
        <d v="2023-02-26T00:00:00"/>
        <d v="2020-07-15T00:00:00"/>
        <d v="2019-10-28T00:00:00"/>
        <d v="2022-04-13T00:00:00"/>
        <d v="2021-05-28T00:00:00"/>
        <d v="2020-06-21T00:00:00"/>
        <d v="2018-09-04T00:00:00"/>
        <d v="2019-08-20T00:00:00"/>
        <d v="2022-03-09T00:00:00"/>
        <d v="2021-12-22T00:00:00"/>
        <d v="2019-07-15T00:00:00"/>
        <d v="2023-04-27T00:00:00"/>
        <d v="2020-05-10T00:00:00"/>
        <d v="2021-02-03T00:00:00"/>
        <d v="2022-05-19T00:00:00"/>
        <d v="2019-08-14T00:00:00"/>
        <d v="2018-11-27T00:00:00"/>
        <d v="2017-06-10T00:00:00"/>
        <d v="2020-09-02T00:00:00"/>
        <d v="2019-07-17T00:00:00"/>
        <d v="2023-05-04T00:00:00"/>
        <d v="2021-10-28T00:00:00"/>
        <d v="2020-02-12T00:00:00"/>
        <d v="2019-05-27T00:00:00"/>
        <d v="2022-12-12T00:00:00"/>
        <d v="2021-04-26T00:00:00"/>
        <d v="2018-09-09T00:00:00"/>
        <d v="2017-10-31T00:00:00"/>
        <d v="2023-01-15T00:00:00"/>
        <d v="2020-06-28T00:00:00"/>
        <d v="2019-09-11T00:00:00"/>
        <d v="2022-03-04T00:00:00"/>
        <d v="2021-06-17T00:00:00"/>
        <d v="2018-11-30T00:00:00"/>
        <d v="2017-07-23T00:00:00"/>
        <d v="2023-05-11T00:00:00"/>
        <d v="2020-10-24T00:00:00"/>
        <d v="2019-04-15T00:00:00"/>
        <d v="2018-09-08T00:00:00"/>
        <d v="2021-11-29T00:00:00"/>
        <d v="2020-07-13T00:00:00"/>
        <d v="2019-03-28T00:00:00"/>
        <d v="2022-08-12T00:00:00"/>
        <d v="2021-05-25T00:00:00"/>
        <d v="2018-10-18T00:00:00"/>
        <d v="2017-05-11T00:00:00"/>
        <d v="2023-01-26T00:00:00"/>
        <d v="2020-07-09T00:00:00"/>
        <d v="2019-10-01T00:00:00"/>
        <d v="2022-02-14T00:00:00"/>
        <d v="2021-07-29T00:00:00"/>
        <d v="2018-11-21T00:00:00"/>
        <d v="2017-06-14T00:00:00"/>
        <d v="2023-01-07T00:00:00"/>
        <d v="2020-07-30T00:00:00"/>
        <d v="2019-12-23T00:00:00"/>
        <d v="2018-09-16T00:00:00"/>
        <d v="2022-02-07T00:00:00"/>
        <d v="2021-06-22T00:00:00"/>
        <d v="2020-09-15T00:00:00"/>
        <d v="2019-11-28T00:00:00"/>
        <d v="2021-05-05T00:00:00"/>
        <d v="2022-05-11T00:00:00"/>
        <d v="2021-09-24T00:00:00"/>
        <d v="2020-12-17T00:00:00"/>
        <d v="2023-02-08T00:00:00"/>
        <d v="2021-07-24T00:00:00"/>
        <d v="2019-11-17T00:00:00"/>
        <d v="2018-10-10T00:00:00"/>
        <d v="2020-02-03T00:00:00"/>
        <d v="2019-07-27T00:00:00"/>
        <d v="2021-11-20T00:00:00"/>
        <d v="2020-05-13T00:00:00"/>
        <d v="2019-08-06T00:00:00"/>
        <d v="2023-03-01T00:00:00"/>
        <d v="2020-09-17T00:00:00"/>
        <d v="2019-12-10T00:00:00"/>
        <d v="2018-11-03T00:00:00"/>
        <d v="2017-11-26T00:00:00"/>
        <d v="2023-04-09T00:00:00"/>
        <d v="2020-06-02T00:00:00"/>
        <d v="2019-08-26T00:00:00"/>
        <d v="2022-03-19T00:00:00"/>
        <m/>
      </sharedItems>
      <fieldGroup par="12"/>
    </cacheField>
    <cacheField name="Job Title" numFmtId="0">
      <sharedItems containsBlank="1"/>
    </cacheField>
    <cacheField name="Salary" numFmtId="0">
      <sharedItems containsString="0" containsBlank="1" containsNumber="1" containsInteger="1" minValue="28900" maxValue="85000"/>
    </cacheField>
    <cacheField name="Age" numFmtId="0">
      <sharedItems containsString="0" containsBlank="1" containsNumber="1" minValue="23.5" maxValue="66.7"/>
    </cacheField>
    <cacheField name="Leave Balance" numFmtId="0">
      <sharedItems containsString="0" containsBlank="1" containsNumber="1" containsInteger="1" minValue="2" maxValue="37"/>
    </cacheField>
    <cacheField name="Months (Date of Join)" numFmtId="0" databaseField="0">
      <fieldGroup base="5">
        <rangePr groupBy="months" startDate="2017-04-11T00:00:00" endDate="2023-06-23T00:00:00"/>
        <groupItems count="14">
          <s v="&lt;11-04-2017"/>
          <s v="Jan"/>
          <s v="Feb"/>
          <s v="Mar"/>
          <s v="Apr"/>
          <s v="May"/>
          <s v="Jun"/>
          <s v="Jul"/>
          <s v="Aug"/>
          <s v="Sep"/>
          <s v="Oct"/>
          <s v="Nov"/>
          <s v="Dec"/>
          <s v="&gt;23-06-2023"/>
        </groupItems>
      </fieldGroup>
    </cacheField>
    <cacheField name="Quarters (Date of Join)" numFmtId="0" databaseField="0">
      <fieldGroup base="5">
        <rangePr groupBy="quarters" startDate="2017-04-11T00:00:00" endDate="2023-06-23T00:00:00"/>
        <groupItems count="6">
          <s v="&lt;11-04-2017"/>
          <s v="Qtr1"/>
          <s v="Qtr2"/>
          <s v="Qtr3"/>
          <s v="Qtr4"/>
          <s v="&gt;23-06-2023"/>
        </groupItems>
      </fieldGroup>
    </cacheField>
    <cacheField name="Years (Date of Join)" numFmtId="0" databaseField="0">
      <fieldGroup base="5">
        <rangePr groupBy="years" startDate="2017-04-11T00:00:00" endDate="2023-06-23T00:00:00"/>
        <groupItems count="9">
          <s v="&lt;11-04-2017"/>
          <s v="2017"/>
          <s v="2018"/>
          <s v="2019"/>
          <s v="2020"/>
          <s v="2021"/>
          <s v="2022"/>
          <s v="2023"/>
          <s v="&gt;23-0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x v="0"/>
    <x v="0"/>
    <x v="0"/>
    <x v="0"/>
    <x v="0"/>
    <x v="0"/>
    <x v="0"/>
    <x v="0"/>
    <n v="13"/>
  </r>
  <r>
    <x v="1"/>
    <x v="1"/>
    <x v="1"/>
    <x v="1"/>
    <x v="1"/>
    <x v="1"/>
    <x v="1"/>
    <x v="1"/>
    <x v="1"/>
    <n v="12"/>
  </r>
  <r>
    <x v="2"/>
    <x v="2"/>
    <x v="2"/>
    <x v="0"/>
    <x v="2"/>
    <x v="2"/>
    <x v="2"/>
    <x v="2"/>
    <x v="2"/>
    <n v="16"/>
  </r>
  <r>
    <x v="3"/>
    <x v="3"/>
    <x v="3"/>
    <x v="1"/>
    <x v="0"/>
    <x v="3"/>
    <x v="3"/>
    <x v="3"/>
    <x v="3"/>
    <n v="21"/>
  </r>
  <r>
    <x v="4"/>
    <x v="4"/>
    <x v="4"/>
    <x v="0"/>
    <x v="3"/>
    <x v="4"/>
    <x v="4"/>
    <x v="4"/>
    <x v="4"/>
    <n v="23"/>
  </r>
  <r>
    <x v="5"/>
    <x v="5"/>
    <x v="5"/>
    <x v="1"/>
    <x v="0"/>
    <x v="5"/>
    <x v="5"/>
    <x v="5"/>
    <x v="5"/>
    <n v="23"/>
  </r>
  <r>
    <x v="6"/>
    <x v="6"/>
    <x v="6"/>
    <x v="0"/>
    <x v="2"/>
    <x v="6"/>
    <x v="1"/>
    <x v="6"/>
    <x v="6"/>
    <n v="24"/>
  </r>
  <r>
    <x v="7"/>
    <x v="7"/>
    <x v="7"/>
    <x v="1"/>
    <x v="1"/>
    <x v="7"/>
    <x v="6"/>
    <x v="7"/>
    <x v="7"/>
    <n v="17"/>
  </r>
  <r>
    <x v="8"/>
    <x v="8"/>
    <x v="8"/>
    <x v="0"/>
    <x v="0"/>
    <x v="8"/>
    <x v="7"/>
    <x v="8"/>
    <x v="8"/>
    <n v="16"/>
  </r>
  <r>
    <x v="9"/>
    <x v="9"/>
    <x v="9"/>
    <x v="1"/>
    <x v="3"/>
    <x v="9"/>
    <x v="8"/>
    <x v="9"/>
    <x v="9"/>
    <n v="17"/>
  </r>
  <r>
    <x v="10"/>
    <x v="10"/>
    <x v="10"/>
    <x v="0"/>
    <x v="2"/>
    <x v="10"/>
    <x v="2"/>
    <x v="10"/>
    <x v="4"/>
    <n v="16"/>
  </r>
  <r>
    <x v="11"/>
    <x v="11"/>
    <x v="11"/>
    <x v="1"/>
    <x v="1"/>
    <x v="11"/>
    <x v="1"/>
    <x v="11"/>
    <x v="10"/>
    <n v="11"/>
  </r>
  <r>
    <x v="12"/>
    <x v="12"/>
    <x v="12"/>
    <x v="0"/>
    <x v="0"/>
    <x v="12"/>
    <x v="0"/>
    <x v="12"/>
    <x v="11"/>
    <n v="25"/>
  </r>
  <r>
    <x v="13"/>
    <x v="13"/>
    <x v="13"/>
    <x v="1"/>
    <x v="3"/>
    <x v="13"/>
    <x v="9"/>
    <x v="13"/>
    <x v="12"/>
    <n v="10"/>
  </r>
  <r>
    <x v="14"/>
    <x v="14"/>
    <x v="14"/>
    <x v="0"/>
    <x v="0"/>
    <x v="14"/>
    <x v="7"/>
    <x v="14"/>
    <x v="13"/>
    <n v="12"/>
  </r>
  <r>
    <x v="15"/>
    <x v="15"/>
    <x v="15"/>
    <x v="1"/>
    <x v="2"/>
    <x v="15"/>
    <x v="2"/>
    <x v="15"/>
    <x v="14"/>
    <n v="17"/>
  </r>
  <r>
    <x v="16"/>
    <x v="16"/>
    <x v="16"/>
    <x v="1"/>
    <x v="1"/>
    <x v="16"/>
    <x v="6"/>
    <x v="16"/>
    <x v="15"/>
    <n v="17"/>
  </r>
  <r>
    <x v="17"/>
    <x v="17"/>
    <x v="17"/>
    <x v="0"/>
    <x v="0"/>
    <x v="17"/>
    <x v="5"/>
    <x v="17"/>
    <x v="9"/>
    <n v="20"/>
  </r>
  <r>
    <x v="18"/>
    <x v="18"/>
    <x v="18"/>
    <x v="1"/>
    <x v="3"/>
    <x v="18"/>
    <x v="8"/>
    <x v="18"/>
    <x v="16"/>
    <n v="23"/>
  </r>
  <r>
    <x v="19"/>
    <x v="19"/>
    <x v="19"/>
    <x v="0"/>
    <x v="2"/>
    <x v="19"/>
    <x v="1"/>
    <x v="19"/>
    <x v="9"/>
    <n v="16"/>
  </r>
  <r>
    <x v="20"/>
    <x v="20"/>
    <x v="20"/>
    <x v="1"/>
    <x v="1"/>
    <x v="20"/>
    <x v="2"/>
    <x v="20"/>
    <x v="17"/>
    <n v="16"/>
  </r>
  <r>
    <x v="21"/>
    <x v="21"/>
    <x v="21"/>
    <x v="0"/>
    <x v="0"/>
    <x v="21"/>
    <x v="4"/>
    <x v="21"/>
    <x v="1"/>
    <n v="22"/>
  </r>
  <r>
    <x v="22"/>
    <x v="22"/>
    <x v="22"/>
    <x v="1"/>
    <x v="3"/>
    <x v="22"/>
    <x v="3"/>
    <x v="22"/>
    <x v="18"/>
    <n v="23"/>
  </r>
  <r>
    <x v="23"/>
    <x v="23"/>
    <x v="23"/>
    <x v="0"/>
    <x v="0"/>
    <x v="23"/>
    <x v="5"/>
    <x v="23"/>
    <x v="19"/>
    <n v="19"/>
  </r>
  <r>
    <x v="24"/>
    <x v="24"/>
    <x v="24"/>
    <x v="1"/>
    <x v="2"/>
    <x v="24"/>
    <x v="2"/>
    <x v="24"/>
    <x v="20"/>
    <n v="12"/>
  </r>
  <r>
    <x v="25"/>
    <x v="25"/>
    <x v="25"/>
    <x v="0"/>
    <x v="1"/>
    <x v="25"/>
    <x v="6"/>
    <x v="25"/>
    <x v="18"/>
    <n v="16"/>
  </r>
  <r>
    <x v="26"/>
    <x v="26"/>
    <x v="26"/>
    <x v="1"/>
    <x v="0"/>
    <x v="26"/>
    <x v="7"/>
    <x v="26"/>
    <x v="21"/>
    <n v="18"/>
  </r>
  <r>
    <x v="27"/>
    <x v="27"/>
    <x v="27"/>
    <x v="0"/>
    <x v="3"/>
    <x v="27"/>
    <x v="8"/>
    <x v="27"/>
    <x v="1"/>
    <n v="14"/>
  </r>
  <r>
    <x v="28"/>
    <x v="28"/>
    <x v="28"/>
    <x v="1"/>
    <x v="2"/>
    <x v="28"/>
    <x v="1"/>
    <x v="28"/>
    <x v="22"/>
    <n v="15"/>
  </r>
  <r>
    <x v="29"/>
    <x v="29"/>
    <x v="29"/>
    <x v="0"/>
    <x v="1"/>
    <x v="29"/>
    <x v="2"/>
    <x v="29"/>
    <x v="23"/>
    <n v="20"/>
  </r>
  <r>
    <x v="30"/>
    <x v="30"/>
    <x v="30"/>
    <x v="1"/>
    <x v="0"/>
    <x v="30"/>
    <x v="9"/>
    <x v="30"/>
    <x v="24"/>
    <n v="27"/>
  </r>
  <r>
    <x v="31"/>
    <x v="31"/>
    <x v="31"/>
    <x v="0"/>
    <x v="3"/>
    <x v="31"/>
    <x v="7"/>
    <x v="31"/>
    <x v="25"/>
    <n v="13"/>
  </r>
  <r>
    <x v="32"/>
    <x v="32"/>
    <x v="32"/>
    <x v="1"/>
    <x v="2"/>
    <x v="32"/>
    <x v="2"/>
    <x v="32"/>
    <x v="26"/>
    <n v="21"/>
  </r>
  <r>
    <x v="33"/>
    <x v="33"/>
    <x v="33"/>
    <x v="0"/>
    <x v="1"/>
    <x v="33"/>
    <x v="6"/>
    <x v="33"/>
    <x v="27"/>
    <n v="18"/>
  </r>
  <r>
    <x v="34"/>
    <x v="34"/>
    <x v="34"/>
    <x v="1"/>
    <x v="0"/>
    <x v="34"/>
    <x v="5"/>
    <x v="34"/>
    <x v="28"/>
    <n v="16"/>
  </r>
  <r>
    <x v="35"/>
    <x v="35"/>
    <x v="35"/>
    <x v="0"/>
    <x v="3"/>
    <x v="35"/>
    <x v="8"/>
    <x v="35"/>
    <x v="29"/>
    <n v="13"/>
  </r>
  <r>
    <x v="36"/>
    <x v="36"/>
    <x v="36"/>
    <x v="1"/>
    <x v="2"/>
    <x v="36"/>
    <x v="1"/>
    <x v="36"/>
    <x v="30"/>
    <n v="17"/>
  </r>
  <r>
    <x v="37"/>
    <x v="37"/>
    <x v="37"/>
    <x v="0"/>
    <x v="1"/>
    <x v="37"/>
    <x v="2"/>
    <x v="37"/>
    <x v="3"/>
    <n v="25"/>
  </r>
  <r>
    <x v="38"/>
    <x v="38"/>
    <x v="38"/>
    <x v="1"/>
    <x v="0"/>
    <x v="38"/>
    <x v="0"/>
    <x v="12"/>
    <x v="31"/>
    <n v="16"/>
  </r>
  <r>
    <x v="39"/>
    <x v="39"/>
    <x v="39"/>
    <x v="0"/>
    <x v="3"/>
    <x v="39"/>
    <x v="3"/>
    <x v="38"/>
    <x v="32"/>
    <n v="15"/>
  </r>
  <r>
    <x v="40"/>
    <x v="40"/>
    <x v="40"/>
    <x v="1"/>
    <x v="2"/>
    <x v="40"/>
    <x v="4"/>
    <x v="39"/>
    <x v="28"/>
    <n v="18"/>
  </r>
  <r>
    <x v="41"/>
    <x v="41"/>
    <x v="41"/>
    <x v="0"/>
    <x v="1"/>
    <x v="41"/>
    <x v="5"/>
    <x v="40"/>
    <x v="33"/>
    <n v="13"/>
  </r>
  <r>
    <x v="42"/>
    <x v="42"/>
    <x v="42"/>
    <x v="1"/>
    <x v="0"/>
    <x v="42"/>
    <x v="6"/>
    <x v="41"/>
    <x v="34"/>
    <n v="17"/>
  </r>
  <r>
    <x v="43"/>
    <x v="43"/>
    <x v="43"/>
    <x v="0"/>
    <x v="2"/>
    <x v="43"/>
    <x v="2"/>
    <x v="42"/>
    <x v="15"/>
    <n v="15"/>
  </r>
  <r>
    <x v="44"/>
    <x v="44"/>
    <x v="44"/>
    <x v="1"/>
    <x v="1"/>
    <x v="44"/>
    <x v="1"/>
    <x v="43"/>
    <x v="34"/>
    <n v="18"/>
  </r>
  <r>
    <x v="45"/>
    <x v="45"/>
    <x v="45"/>
    <x v="0"/>
    <x v="0"/>
    <x v="45"/>
    <x v="0"/>
    <x v="44"/>
    <x v="35"/>
    <n v="16"/>
  </r>
  <r>
    <x v="46"/>
    <x v="46"/>
    <x v="46"/>
    <x v="1"/>
    <x v="3"/>
    <x v="46"/>
    <x v="9"/>
    <x v="45"/>
    <x v="36"/>
    <n v="23"/>
  </r>
  <r>
    <x v="47"/>
    <x v="47"/>
    <x v="47"/>
    <x v="1"/>
    <x v="0"/>
    <x v="47"/>
    <x v="7"/>
    <x v="46"/>
    <x v="37"/>
    <n v="14"/>
  </r>
  <r>
    <x v="48"/>
    <x v="48"/>
    <x v="48"/>
    <x v="0"/>
    <x v="2"/>
    <x v="48"/>
    <x v="2"/>
    <x v="47"/>
    <x v="38"/>
    <n v="19"/>
  </r>
  <r>
    <x v="49"/>
    <x v="49"/>
    <x v="49"/>
    <x v="1"/>
    <x v="1"/>
    <x v="49"/>
    <x v="6"/>
    <x v="48"/>
    <x v="17"/>
    <n v="18"/>
  </r>
  <r>
    <x v="50"/>
    <x v="50"/>
    <x v="50"/>
    <x v="1"/>
    <x v="0"/>
    <x v="50"/>
    <x v="5"/>
    <x v="49"/>
    <x v="39"/>
    <n v="15"/>
  </r>
  <r>
    <x v="51"/>
    <x v="51"/>
    <x v="51"/>
    <x v="1"/>
    <x v="3"/>
    <x v="51"/>
    <x v="8"/>
    <x v="50"/>
    <x v="40"/>
    <n v="18"/>
  </r>
  <r>
    <x v="52"/>
    <x v="52"/>
    <x v="52"/>
    <x v="0"/>
    <x v="2"/>
    <x v="52"/>
    <x v="1"/>
    <x v="51"/>
    <x v="41"/>
    <n v="16"/>
  </r>
  <r>
    <x v="53"/>
    <x v="53"/>
    <x v="53"/>
    <x v="0"/>
    <x v="1"/>
    <x v="53"/>
    <x v="2"/>
    <x v="52"/>
    <x v="42"/>
    <n v="30"/>
  </r>
  <r>
    <x v="54"/>
    <x v="54"/>
    <x v="54"/>
    <x v="1"/>
    <x v="0"/>
    <x v="54"/>
    <x v="0"/>
    <x v="53"/>
    <x v="43"/>
    <n v="23"/>
  </r>
  <r>
    <x v="55"/>
    <x v="55"/>
    <x v="55"/>
    <x v="0"/>
    <x v="3"/>
    <x v="55"/>
    <x v="3"/>
    <x v="54"/>
    <x v="10"/>
    <n v="10"/>
  </r>
  <r>
    <x v="56"/>
    <x v="56"/>
    <x v="56"/>
    <x v="1"/>
    <x v="2"/>
    <x v="56"/>
    <x v="4"/>
    <x v="55"/>
    <x v="44"/>
    <n v="17"/>
  </r>
  <r>
    <x v="57"/>
    <x v="57"/>
    <x v="57"/>
    <x v="0"/>
    <x v="0"/>
    <x v="57"/>
    <x v="5"/>
    <x v="56"/>
    <x v="45"/>
    <n v="19"/>
  </r>
  <r>
    <x v="58"/>
    <x v="58"/>
    <x v="58"/>
    <x v="1"/>
    <x v="1"/>
    <x v="58"/>
    <x v="6"/>
    <x v="57"/>
    <x v="46"/>
    <n v="4"/>
  </r>
  <r>
    <x v="59"/>
    <x v="59"/>
    <x v="59"/>
    <x v="1"/>
    <x v="0"/>
    <x v="59"/>
    <x v="2"/>
    <x v="58"/>
    <x v="47"/>
    <n v="19"/>
  </r>
  <r>
    <x v="60"/>
    <x v="60"/>
    <x v="60"/>
    <x v="0"/>
    <x v="3"/>
    <x v="60"/>
    <x v="9"/>
    <x v="59"/>
    <x v="48"/>
    <n v="18"/>
  </r>
  <r>
    <x v="61"/>
    <x v="61"/>
    <x v="61"/>
    <x v="0"/>
    <x v="2"/>
    <x v="61"/>
    <x v="7"/>
    <x v="60"/>
    <x v="49"/>
    <n v="22"/>
  </r>
  <r>
    <x v="62"/>
    <x v="62"/>
    <x v="62"/>
    <x v="1"/>
    <x v="1"/>
    <x v="62"/>
    <x v="8"/>
    <x v="61"/>
    <x v="50"/>
    <n v="18"/>
  </r>
  <r>
    <x v="63"/>
    <x v="63"/>
    <x v="63"/>
    <x v="0"/>
    <x v="0"/>
    <x v="63"/>
    <x v="1"/>
    <x v="62"/>
    <x v="51"/>
    <n v="15"/>
  </r>
  <r>
    <x v="64"/>
    <x v="64"/>
    <x v="64"/>
    <x v="1"/>
    <x v="3"/>
    <x v="64"/>
    <x v="0"/>
    <x v="63"/>
    <x v="52"/>
    <n v="8"/>
  </r>
  <r>
    <x v="65"/>
    <x v="65"/>
    <x v="65"/>
    <x v="0"/>
    <x v="2"/>
    <x v="65"/>
    <x v="3"/>
    <x v="64"/>
    <x v="38"/>
    <n v="21"/>
  </r>
  <r>
    <x v="66"/>
    <x v="66"/>
    <x v="66"/>
    <x v="1"/>
    <x v="0"/>
    <x v="66"/>
    <x v="4"/>
    <x v="65"/>
    <x v="53"/>
    <n v="16"/>
  </r>
  <r>
    <x v="67"/>
    <x v="45"/>
    <x v="67"/>
    <x v="1"/>
    <x v="1"/>
    <x v="67"/>
    <x v="5"/>
    <x v="66"/>
    <x v="54"/>
    <n v="19"/>
  </r>
  <r>
    <x v="68"/>
    <x v="67"/>
    <x v="68"/>
    <x v="0"/>
    <x v="0"/>
    <x v="68"/>
    <x v="6"/>
    <x v="16"/>
    <x v="55"/>
    <n v="13"/>
  </r>
  <r>
    <x v="69"/>
    <x v="68"/>
    <x v="69"/>
    <x v="1"/>
    <x v="2"/>
    <x v="69"/>
    <x v="2"/>
    <x v="67"/>
    <x v="56"/>
    <n v="16"/>
  </r>
  <r>
    <x v="70"/>
    <x v="69"/>
    <x v="70"/>
    <x v="0"/>
    <x v="1"/>
    <x v="70"/>
    <x v="1"/>
    <x v="68"/>
    <x v="57"/>
    <n v="17"/>
  </r>
  <r>
    <x v="71"/>
    <x v="70"/>
    <x v="71"/>
    <x v="1"/>
    <x v="0"/>
    <x v="71"/>
    <x v="7"/>
    <x v="69"/>
    <x v="10"/>
    <n v="14"/>
  </r>
  <r>
    <x v="72"/>
    <x v="71"/>
    <x v="72"/>
    <x v="0"/>
    <x v="3"/>
    <x v="72"/>
    <x v="8"/>
    <x v="70"/>
    <x v="58"/>
    <n v="20"/>
  </r>
  <r>
    <x v="73"/>
    <x v="72"/>
    <x v="73"/>
    <x v="1"/>
    <x v="2"/>
    <x v="73"/>
    <x v="0"/>
    <x v="0"/>
    <x v="44"/>
    <n v="14"/>
  </r>
  <r>
    <x v="74"/>
    <x v="73"/>
    <x v="74"/>
    <x v="1"/>
    <x v="1"/>
    <x v="74"/>
    <x v="9"/>
    <x v="71"/>
    <x v="27"/>
    <n v="20"/>
  </r>
  <r>
    <x v="75"/>
    <x v="74"/>
    <x v="75"/>
    <x v="0"/>
    <x v="0"/>
    <x v="75"/>
    <x v="4"/>
    <x v="72"/>
    <x v="8"/>
    <n v="22"/>
  </r>
  <r>
    <x v="76"/>
    <x v="75"/>
    <x v="76"/>
    <x v="1"/>
    <x v="2"/>
    <x v="76"/>
    <x v="5"/>
    <x v="73"/>
    <x v="54"/>
    <n v="20"/>
  </r>
  <r>
    <x v="77"/>
    <x v="76"/>
    <x v="77"/>
    <x v="1"/>
    <x v="1"/>
    <x v="77"/>
    <x v="6"/>
    <x v="74"/>
    <x v="7"/>
    <n v="16"/>
  </r>
  <r>
    <x v="78"/>
    <x v="77"/>
    <x v="78"/>
    <x v="1"/>
    <x v="0"/>
    <x v="78"/>
    <x v="2"/>
    <x v="75"/>
    <x v="49"/>
    <n v="17"/>
  </r>
  <r>
    <x v="79"/>
    <x v="78"/>
    <x v="79"/>
    <x v="0"/>
    <x v="3"/>
    <x v="79"/>
    <x v="1"/>
    <x v="76"/>
    <x v="58"/>
    <n v="20"/>
  </r>
  <r>
    <x v="80"/>
    <x v="79"/>
    <x v="80"/>
    <x v="1"/>
    <x v="2"/>
    <x v="80"/>
    <x v="7"/>
    <x v="77"/>
    <x v="59"/>
    <n v="12"/>
  </r>
  <r>
    <x v="81"/>
    <x v="80"/>
    <x v="81"/>
    <x v="1"/>
    <x v="1"/>
    <x v="81"/>
    <x v="8"/>
    <x v="78"/>
    <x v="60"/>
    <n v="6"/>
  </r>
  <r>
    <x v="82"/>
    <x v="81"/>
    <x v="82"/>
    <x v="0"/>
    <x v="0"/>
    <x v="82"/>
    <x v="0"/>
    <x v="79"/>
    <x v="61"/>
    <n v="22"/>
  </r>
  <r>
    <x v="83"/>
    <x v="82"/>
    <x v="83"/>
    <x v="1"/>
    <x v="3"/>
    <x v="83"/>
    <x v="3"/>
    <x v="38"/>
    <x v="8"/>
    <n v="15"/>
  </r>
  <r>
    <x v="84"/>
    <x v="83"/>
    <x v="84"/>
    <x v="0"/>
    <x v="2"/>
    <x v="84"/>
    <x v="4"/>
    <x v="80"/>
    <x v="62"/>
    <n v="16"/>
  </r>
  <r>
    <x v="85"/>
    <x v="84"/>
    <x v="85"/>
    <x v="1"/>
    <x v="1"/>
    <x v="85"/>
    <x v="5"/>
    <x v="5"/>
    <x v="63"/>
    <n v="15"/>
  </r>
  <r>
    <x v="86"/>
    <x v="85"/>
    <x v="86"/>
    <x v="0"/>
    <x v="0"/>
    <x v="86"/>
    <x v="6"/>
    <x v="57"/>
    <x v="64"/>
    <n v="24"/>
  </r>
  <r>
    <x v="87"/>
    <x v="86"/>
    <x v="87"/>
    <x v="1"/>
    <x v="2"/>
    <x v="87"/>
    <x v="2"/>
    <x v="58"/>
    <x v="65"/>
    <n v="14"/>
  </r>
  <r>
    <x v="88"/>
    <x v="87"/>
    <x v="88"/>
    <x v="0"/>
    <x v="1"/>
    <x v="88"/>
    <x v="1"/>
    <x v="81"/>
    <x v="66"/>
    <n v="20"/>
  </r>
  <r>
    <x v="89"/>
    <x v="88"/>
    <x v="89"/>
    <x v="1"/>
    <x v="0"/>
    <x v="89"/>
    <x v="0"/>
    <x v="82"/>
    <x v="49"/>
    <n v="17"/>
  </r>
  <r>
    <x v="90"/>
    <x v="89"/>
    <x v="90"/>
    <x v="0"/>
    <x v="3"/>
    <x v="90"/>
    <x v="9"/>
    <x v="30"/>
    <x v="67"/>
    <n v="17"/>
  </r>
  <r>
    <x v="91"/>
    <x v="90"/>
    <x v="91"/>
    <x v="0"/>
    <x v="2"/>
    <x v="36"/>
    <x v="7"/>
    <x v="83"/>
    <x v="68"/>
    <n v="6"/>
  </r>
  <r>
    <x v="92"/>
    <x v="91"/>
    <x v="92"/>
    <x v="1"/>
    <x v="1"/>
    <x v="91"/>
    <x v="8"/>
    <x v="84"/>
    <x v="69"/>
    <n v="16"/>
  </r>
  <r>
    <x v="93"/>
    <x v="92"/>
    <x v="93"/>
    <x v="1"/>
    <x v="0"/>
    <x v="92"/>
    <x v="1"/>
    <x v="1"/>
    <x v="26"/>
    <n v="14"/>
  </r>
  <r>
    <x v="94"/>
    <x v="93"/>
    <x v="94"/>
    <x v="0"/>
    <x v="3"/>
    <x v="64"/>
    <x v="0"/>
    <x v="85"/>
    <x v="70"/>
    <n v="15"/>
  </r>
  <r>
    <x v="95"/>
    <x v="94"/>
    <x v="95"/>
    <x v="1"/>
    <x v="2"/>
    <x v="93"/>
    <x v="3"/>
    <x v="86"/>
    <x v="11"/>
    <n v="20"/>
  </r>
  <r>
    <x v="96"/>
    <x v="95"/>
    <x v="96"/>
    <x v="1"/>
    <x v="0"/>
    <x v="94"/>
    <x v="4"/>
    <x v="87"/>
    <x v="4"/>
    <n v="17"/>
  </r>
  <r>
    <x v="97"/>
    <x v="96"/>
    <x v="97"/>
    <x v="1"/>
    <x v="1"/>
    <x v="95"/>
    <x v="5"/>
    <x v="49"/>
    <x v="71"/>
    <n v="21"/>
  </r>
  <r>
    <x v="98"/>
    <x v="97"/>
    <x v="98"/>
    <x v="0"/>
    <x v="0"/>
    <x v="96"/>
    <x v="6"/>
    <x v="48"/>
    <x v="72"/>
    <n v="16"/>
  </r>
  <r>
    <x v="99"/>
    <x v="98"/>
    <x v="99"/>
    <x v="1"/>
    <x v="2"/>
    <x v="97"/>
    <x v="2"/>
    <x v="58"/>
    <x v="73"/>
    <n v="24"/>
  </r>
  <r>
    <x v="100"/>
    <x v="99"/>
    <x v="100"/>
    <x v="1"/>
    <x v="1"/>
    <x v="98"/>
    <x v="1"/>
    <x v="88"/>
    <x v="74"/>
    <n v="20"/>
  </r>
  <r>
    <x v="101"/>
    <x v="100"/>
    <x v="101"/>
    <x v="0"/>
    <x v="0"/>
    <x v="99"/>
    <x v="7"/>
    <x v="46"/>
    <x v="75"/>
    <n v="15"/>
  </r>
  <r>
    <x v="102"/>
    <x v="101"/>
    <x v="102"/>
    <x v="0"/>
    <x v="3"/>
    <x v="100"/>
    <x v="8"/>
    <x v="89"/>
    <x v="76"/>
    <n v="20"/>
  </r>
  <r>
    <x v="103"/>
    <x v="102"/>
    <x v="103"/>
    <x v="1"/>
    <x v="2"/>
    <x v="101"/>
    <x v="0"/>
    <x v="53"/>
    <x v="77"/>
    <n v="15"/>
  </r>
  <r>
    <x v="104"/>
    <x v="103"/>
    <x v="104"/>
    <x v="0"/>
    <x v="1"/>
    <x v="102"/>
    <x v="9"/>
    <x v="90"/>
    <x v="19"/>
    <n v="12"/>
  </r>
  <r>
    <x v="105"/>
    <x v="104"/>
    <x v="105"/>
    <x v="1"/>
    <x v="0"/>
    <x v="103"/>
    <x v="4"/>
    <x v="91"/>
    <x v="78"/>
    <n v="16"/>
  </r>
  <r>
    <x v="106"/>
    <x v="105"/>
    <x v="106"/>
    <x v="0"/>
    <x v="2"/>
    <x v="104"/>
    <x v="5"/>
    <x v="92"/>
    <x v="79"/>
    <n v="14"/>
  </r>
  <r>
    <x v="107"/>
    <x v="106"/>
    <x v="107"/>
    <x v="1"/>
    <x v="1"/>
    <x v="105"/>
    <x v="6"/>
    <x v="93"/>
    <x v="48"/>
    <n v="10"/>
  </r>
  <r>
    <x v="108"/>
    <x v="107"/>
    <x v="108"/>
    <x v="0"/>
    <x v="0"/>
    <x v="106"/>
    <x v="2"/>
    <x v="94"/>
    <x v="80"/>
    <n v="8"/>
  </r>
  <r>
    <x v="109"/>
    <x v="108"/>
    <x v="109"/>
    <x v="0"/>
    <x v="3"/>
    <x v="107"/>
    <x v="1"/>
    <x v="95"/>
    <x v="3"/>
    <n v="24"/>
  </r>
  <r>
    <x v="110"/>
    <x v="109"/>
    <x v="110"/>
    <x v="1"/>
    <x v="2"/>
    <x v="108"/>
    <x v="7"/>
    <x v="96"/>
    <x v="57"/>
    <n v="13"/>
  </r>
  <r>
    <x v="111"/>
    <x v="110"/>
    <x v="111"/>
    <x v="1"/>
    <x v="1"/>
    <x v="109"/>
    <x v="8"/>
    <x v="97"/>
    <x v="81"/>
    <n v="19"/>
  </r>
  <r>
    <x v="112"/>
    <x v="111"/>
    <x v="112"/>
    <x v="0"/>
    <x v="0"/>
    <x v="110"/>
    <x v="0"/>
    <x v="98"/>
    <x v="58"/>
    <n v="22"/>
  </r>
  <r>
    <x v="113"/>
    <x v="112"/>
    <x v="113"/>
    <x v="1"/>
    <x v="3"/>
    <x v="111"/>
    <x v="3"/>
    <x v="99"/>
    <x v="62"/>
    <n v="15"/>
  </r>
  <r>
    <x v="114"/>
    <x v="113"/>
    <x v="114"/>
    <x v="1"/>
    <x v="2"/>
    <x v="112"/>
    <x v="4"/>
    <x v="100"/>
    <x v="82"/>
    <n v="9"/>
  </r>
  <r>
    <x v="115"/>
    <x v="114"/>
    <x v="115"/>
    <x v="1"/>
    <x v="1"/>
    <x v="113"/>
    <x v="5"/>
    <x v="101"/>
    <x v="82"/>
    <n v="9"/>
  </r>
  <r>
    <x v="116"/>
    <x v="115"/>
    <x v="116"/>
    <x v="0"/>
    <x v="0"/>
    <x v="114"/>
    <x v="6"/>
    <x v="57"/>
    <x v="83"/>
    <n v="17"/>
  </r>
  <r>
    <x v="117"/>
    <x v="116"/>
    <x v="117"/>
    <x v="1"/>
    <x v="2"/>
    <x v="115"/>
    <x v="2"/>
    <x v="102"/>
    <x v="84"/>
    <n v="21"/>
  </r>
  <r>
    <x v="118"/>
    <x v="117"/>
    <x v="118"/>
    <x v="1"/>
    <x v="1"/>
    <x v="116"/>
    <x v="1"/>
    <x v="43"/>
    <x v="9"/>
    <n v="16"/>
  </r>
  <r>
    <x v="119"/>
    <x v="118"/>
    <x v="119"/>
    <x v="0"/>
    <x v="0"/>
    <x v="117"/>
    <x v="7"/>
    <x v="103"/>
    <x v="45"/>
    <n v="18"/>
  </r>
  <r>
    <x v="120"/>
    <x v="119"/>
    <x v="120"/>
    <x v="0"/>
    <x v="3"/>
    <x v="118"/>
    <x v="8"/>
    <x v="104"/>
    <x v="85"/>
    <n v="5"/>
  </r>
  <r>
    <x v="121"/>
    <x v="120"/>
    <x v="121"/>
    <x v="1"/>
    <x v="2"/>
    <x v="119"/>
    <x v="0"/>
    <x v="12"/>
    <x v="86"/>
    <n v="10"/>
  </r>
  <r>
    <x v="122"/>
    <x v="121"/>
    <x v="122"/>
    <x v="0"/>
    <x v="1"/>
    <x v="120"/>
    <x v="9"/>
    <x v="105"/>
    <x v="18"/>
    <n v="11"/>
  </r>
  <r>
    <x v="123"/>
    <x v="122"/>
    <x v="123"/>
    <x v="1"/>
    <x v="0"/>
    <x v="121"/>
    <x v="4"/>
    <x v="106"/>
    <x v="4"/>
    <n v="14"/>
  </r>
  <r>
    <x v="124"/>
    <x v="123"/>
    <x v="124"/>
    <x v="0"/>
    <x v="2"/>
    <x v="122"/>
    <x v="5"/>
    <x v="107"/>
    <x v="87"/>
    <n v="16"/>
  </r>
  <r>
    <x v="125"/>
    <x v="124"/>
    <x v="125"/>
    <x v="1"/>
    <x v="1"/>
    <x v="123"/>
    <x v="6"/>
    <x v="108"/>
    <x v="44"/>
    <n v="2"/>
  </r>
  <r>
    <x v="126"/>
    <x v="125"/>
    <x v="126"/>
    <x v="0"/>
    <x v="0"/>
    <x v="124"/>
    <x v="2"/>
    <x v="109"/>
    <x v="2"/>
    <n v="9"/>
  </r>
  <r>
    <x v="127"/>
    <x v="126"/>
    <x v="127"/>
    <x v="0"/>
    <x v="3"/>
    <x v="125"/>
    <x v="1"/>
    <x v="110"/>
    <x v="41"/>
    <n v="18"/>
  </r>
  <r>
    <x v="128"/>
    <x v="127"/>
    <x v="128"/>
    <x v="1"/>
    <x v="2"/>
    <x v="126"/>
    <x v="7"/>
    <x v="111"/>
    <x v="88"/>
    <n v="16"/>
  </r>
  <r>
    <x v="129"/>
    <x v="128"/>
    <x v="129"/>
    <x v="1"/>
    <x v="1"/>
    <x v="127"/>
    <x v="8"/>
    <x v="112"/>
    <x v="62"/>
    <n v="14"/>
  </r>
  <r>
    <x v="130"/>
    <x v="93"/>
    <x v="130"/>
    <x v="0"/>
    <x v="0"/>
    <x v="128"/>
    <x v="0"/>
    <x v="85"/>
    <x v="26"/>
    <n v="16"/>
  </r>
  <r>
    <x v="131"/>
    <x v="129"/>
    <x v="131"/>
    <x v="1"/>
    <x v="3"/>
    <x v="129"/>
    <x v="3"/>
    <x v="113"/>
    <x v="48"/>
    <n v="15"/>
  </r>
  <r>
    <x v="132"/>
    <x v="130"/>
    <x v="132"/>
    <x v="1"/>
    <x v="2"/>
    <x v="130"/>
    <x v="4"/>
    <x v="114"/>
    <x v="62"/>
    <n v="14"/>
  </r>
  <r>
    <x v="133"/>
    <x v="131"/>
    <x v="133"/>
    <x v="1"/>
    <x v="1"/>
    <x v="131"/>
    <x v="5"/>
    <x v="115"/>
    <x v="15"/>
    <n v="22"/>
  </r>
  <r>
    <x v="134"/>
    <x v="132"/>
    <x v="134"/>
    <x v="0"/>
    <x v="0"/>
    <x v="132"/>
    <x v="6"/>
    <x v="116"/>
    <x v="89"/>
    <n v="19"/>
  </r>
  <r>
    <x v="135"/>
    <x v="133"/>
    <x v="135"/>
    <x v="1"/>
    <x v="2"/>
    <x v="133"/>
    <x v="2"/>
    <x v="117"/>
    <x v="90"/>
    <n v="8"/>
  </r>
  <r>
    <x v="136"/>
    <x v="134"/>
    <x v="136"/>
    <x v="1"/>
    <x v="1"/>
    <x v="69"/>
    <x v="1"/>
    <x v="75"/>
    <x v="8"/>
    <n v="18"/>
  </r>
  <r>
    <x v="137"/>
    <x v="135"/>
    <x v="137"/>
    <x v="0"/>
    <x v="0"/>
    <x v="134"/>
    <x v="7"/>
    <x v="118"/>
    <x v="51"/>
    <n v="23"/>
  </r>
  <r>
    <x v="138"/>
    <x v="136"/>
    <x v="138"/>
    <x v="0"/>
    <x v="3"/>
    <x v="71"/>
    <x v="8"/>
    <x v="119"/>
    <x v="49"/>
    <n v="9"/>
  </r>
  <r>
    <x v="139"/>
    <x v="137"/>
    <x v="139"/>
    <x v="1"/>
    <x v="2"/>
    <x v="135"/>
    <x v="0"/>
    <x v="85"/>
    <x v="43"/>
    <n v="10"/>
  </r>
  <r>
    <x v="140"/>
    <x v="138"/>
    <x v="140"/>
    <x v="0"/>
    <x v="1"/>
    <x v="136"/>
    <x v="9"/>
    <x v="120"/>
    <x v="24"/>
    <n v="12"/>
  </r>
  <r>
    <x v="141"/>
    <x v="139"/>
    <x v="141"/>
    <x v="1"/>
    <x v="0"/>
    <x v="137"/>
    <x v="4"/>
    <x v="121"/>
    <x v="91"/>
    <n v="6"/>
  </r>
  <r>
    <x v="142"/>
    <x v="140"/>
    <x v="142"/>
    <x v="0"/>
    <x v="2"/>
    <x v="138"/>
    <x v="5"/>
    <x v="92"/>
    <x v="92"/>
    <n v="20"/>
  </r>
  <r>
    <x v="143"/>
    <x v="141"/>
    <x v="143"/>
    <x v="1"/>
    <x v="1"/>
    <x v="139"/>
    <x v="6"/>
    <x v="122"/>
    <x v="9"/>
    <n v="18"/>
  </r>
  <r>
    <x v="144"/>
    <x v="142"/>
    <x v="144"/>
    <x v="0"/>
    <x v="0"/>
    <x v="140"/>
    <x v="2"/>
    <x v="20"/>
    <x v="93"/>
    <n v="37"/>
  </r>
  <r>
    <x v="145"/>
    <x v="143"/>
    <x v="145"/>
    <x v="0"/>
    <x v="3"/>
    <x v="141"/>
    <x v="1"/>
    <x v="110"/>
    <x v="94"/>
    <n v="9"/>
  </r>
  <r>
    <x v="146"/>
    <x v="144"/>
    <x v="146"/>
    <x v="1"/>
    <x v="2"/>
    <x v="142"/>
    <x v="7"/>
    <x v="123"/>
    <x v="95"/>
    <n v="18"/>
  </r>
  <r>
    <x v="147"/>
    <x v="110"/>
    <x v="147"/>
    <x v="1"/>
    <x v="1"/>
    <x v="143"/>
    <x v="8"/>
    <x v="124"/>
    <x v="18"/>
    <n v="14"/>
  </r>
  <r>
    <x v="148"/>
    <x v="145"/>
    <x v="148"/>
    <x v="0"/>
    <x v="0"/>
    <x v="144"/>
    <x v="0"/>
    <x v="0"/>
    <x v="1"/>
    <n v="23"/>
  </r>
  <r>
    <x v="149"/>
    <x v="129"/>
    <x v="149"/>
    <x v="1"/>
    <x v="3"/>
    <x v="145"/>
    <x v="3"/>
    <x v="125"/>
    <x v="96"/>
    <n v="14"/>
  </r>
  <r>
    <x v="150"/>
    <x v="113"/>
    <x v="150"/>
    <x v="1"/>
    <x v="2"/>
    <x v="146"/>
    <x v="4"/>
    <x v="126"/>
    <x v="97"/>
    <n v="21"/>
  </r>
  <r>
    <x v="151"/>
    <x v="131"/>
    <x v="151"/>
    <x v="1"/>
    <x v="1"/>
    <x v="147"/>
    <x v="5"/>
    <x v="127"/>
    <x v="98"/>
    <n v="16"/>
  </r>
  <r>
    <x v="152"/>
    <x v="132"/>
    <x v="152"/>
    <x v="0"/>
    <x v="0"/>
    <x v="116"/>
    <x v="6"/>
    <x v="128"/>
    <x v="45"/>
    <n v="15"/>
  </r>
  <r>
    <x v="153"/>
    <x v="146"/>
    <x v="153"/>
    <x v="1"/>
    <x v="2"/>
    <x v="148"/>
    <x v="2"/>
    <x v="75"/>
    <x v="0"/>
    <n v="15"/>
  </r>
  <r>
    <x v="154"/>
    <x v="134"/>
    <x v="154"/>
    <x v="1"/>
    <x v="1"/>
    <x v="149"/>
    <x v="1"/>
    <x v="129"/>
    <x v="99"/>
    <n v="20"/>
  </r>
  <r>
    <x v="155"/>
    <x v="135"/>
    <x v="155"/>
    <x v="0"/>
    <x v="0"/>
    <x v="150"/>
    <x v="7"/>
    <x v="31"/>
    <x v="52"/>
    <n v="16"/>
  </r>
  <r>
    <x v="156"/>
    <x v="147"/>
    <x v="156"/>
    <x v="0"/>
    <x v="3"/>
    <x v="151"/>
    <x v="8"/>
    <x v="130"/>
    <x v="40"/>
    <n v="18"/>
  </r>
  <r>
    <x v="157"/>
    <x v="137"/>
    <x v="157"/>
    <x v="1"/>
    <x v="2"/>
    <x v="152"/>
    <x v="0"/>
    <x v="131"/>
    <x v="59"/>
    <n v="8"/>
  </r>
  <r>
    <x v="158"/>
    <x v="138"/>
    <x v="158"/>
    <x v="0"/>
    <x v="1"/>
    <x v="153"/>
    <x v="9"/>
    <x v="132"/>
    <x v="49"/>
    <n v="13"/>
  </r>
  <r>
    <x v="159"/>
    <x v="139"/>
    <x v="159"/>
    <x v="1"/>
    <x v="0"/>
    <x v="154"/>
    <x v="4"/>
    <x v="133"/>
    <x v="100"/>
    <n v="17"/>
  </r>
  <r>
    <x v="160"/>
    <x v="140"/>
    <x v="160"/>
    <x v="0"/>
    <x v="2"/>
    <x v="155"/>
    <x v="5"/>
    <x v="134"/>
    <x v="101"/>
    <n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
  <r>
    <n v="1"/>
    <s v="Barr Faughny"/>
    <s v="AC0001"/>
    <s v="Male"/>
    <s v="Bachelor's Degree"/>
    <x v="0"/>
    <s v="Chocolatier"/>
    <n v="51300"/>
    <n v="26"/>
    <n v="13"/>
  </r>
  <r>
    <n v="2"/>
    <s v="Dennison Crosswaite"/>
    <s v="AC0002"/>
    <s v="Female"/>
    <s v="Diploma"/>
    <x v="1"/>
    <s v="Production Operator"/>
    <n v="38300"/>
    <n v="32.700000000000003"/>
    <n v="12"/>
  </r>
  <r>
    <n v="3"/>
    <s v="Gunar Cockshoot"/>
    <s v="AC0003"/>
    <s v="Male"/>
    <s v="High School Diploma"/>
    <x v="2"/>
    <s v="Packaging Associate"/>
    <n v="31400"/>
    <n v="34.299999999999997"/>
    <n v="16"/>
  </r>
  <r>
    <n v="4"/>
    <s v="Wilone O'Kielt"/>
    <s v="AC0004"/>
    <s v="Female"/>
    <s v="Bachelor's Degree"/>
    <x v="3"/>
    <s v="Marketing Specialist"/>
    <n v="60700"/>
    <n v="29.6"/>
    <n v="21"/>
  </r>
  <r>
    <n v="5"/>
    <s v="Gigi Bohling"/>
    <s v="AC0005"/>
    <s v="Male"/>
    <s v="Master's Degree"/>
    <x v="4"/>
    <s v="Research Scientist"/>
    <n v="77300"/>
    <n v="30.3"/>
    <n v="23"/>
  </r>
  <r>
    <n v="6"/>
    <s v="Curtice Advani"/>
    <s v="AC0006"/>
    <s v="Female"/>
    <s v="Bachelor's Degree"/>
    <x v="5"/>
    <s v="Sales Representative"/>
    <n v="49800"/>
    <n v="37.700000000000003"/>
    <n v="23"/>
  </r>
  <r>
    <n v="7"/>
    <s v="Kaine Padly"/>
    <s v="AC0007"/>
    <s v="Male"/>
    <s v="High School Diploma"/>
    <x v="6"/>
    <s v="Production Operator"/>
    <n v="33000"/>
    <n v="31.8"/>
    <n v="24"/>
  </r>
  <r>
    <n v="8"/>
    <s v="Ches Bonnell"/>
    <s v="AC0008"/>
    <s v="Female"/>
    <s v="Diploma"/>
    <x v="7"/>
    <s v="Quality Control"/>
    <n v="41900"/>
    <n v="35.9"/>
    <n v="17"/>
  </r>
  <r>
    <n v="9"/>
    <s v="Andria Kimpton"/>
    <s v="AC0009"/>
    <s v="Male"/>
    <s v="Bachelor's Degree"/>
    <x v="8"/>
    <s v="Research Analyst"/>
    <n v="58100"/>
    <n v="31"/>
    <n v="16"/>
  </r>
  <r>
    <n v="10"/>
    <s v="Brien Boise"/>
    <s v="AC0010"/>
    <s v="Female"/>
    <s v="Master's Degree"/>
    <x v="9"/>
    <s v="Product Manager"/>
    <n v="82900"/>
    <n v="31.1"/>
    <n v="17"/>
  </r>
  <r>
    <n v="11"/>
    <s v="Husein Augar"/>
    <s v="AC0011"/>
    <s v="Male"/>
    <s v="High School Diploma"/>
    <x v="10"/>
    <s v="Packaging Associate"/>
    <n v="28900"/>
    <n v="30.3"/>
    <n v="16"/>
  </r>
  <r>
    <n v="12"/>
    <s v="Karlen McCaffrey"/>
    <s v="AC0012"/>
    <s v="Female"/>
    <s v="Diploma"/>
    <x v="11"/>
    <s v="Production Operator"/>
    <n v="37300"/>
    <n v="35"/>
    <n v="11"/>
  </r>
  <r>
    <n v="13"/>
    <s v="Jan Morforth"/>
    <s v="AC0013"/>
    <s v="Male"/>
    <s v="Bachelor's Degree"/>
    <x v="12"/>
    <s v="Chocolatier"/>
    <n v="52700"/>
    <n v="28.5"/>
    <n v="25"/>
  </r>
  <r>
    <n v="14"/>
    <s v="Dotty Strutley"/>
    <s v="AC0014"/>
    <s v="Female"/>
    <s v="Master's Degree"/>
    <x v="13"/>
    <s v="Marketing Manager"/>
    <n v="74700"/>
    <n v="52.4"/>
    <n v="10"/>
  </r>
  <r>
    <n v="15"/>
    <s v="Kelci Walkden"/>
    <s v="AC0015"/>
    <s v="Male"/>
    <s v="Bachelor's Degree"/>
    <x v="14"/>
    <s v="Research Analyst"/>
    <n v="55600"/>
    <n v="35.4"/>
    <n v="12"/>
  </r>
  <r>
    <n v="16"/>
    <s v="Marney O'Breen"/>
    <s v="AC0016"/>
    <s v="Female"/>
    <s v="High School Diploma"/>
    <x v="15"/>
    <s v="Packaging Associate"/>
    <n v="32900"/>
    <n v="29.8"/>
    <n v="17"/>
  </r>
  <r>
    <n v="17"/>
    <s v="Rafaelita Blaksland"/>
    <s v="AC0017"/>
    <s v="Female"/>
    <s v="Diploma"/>
    <x v="16"/>
    <s v="Quality Control"/>
    <n v="41500"/>
    <n v="32.299999999999997"/>
    <n v="17"/>
  </r>
  <r>
    <n v="18"/>
    <s v="Madelene Upcott"/>
    <s v="AC0018"/>
    <s v="Male"/>
    <s v="Bachelor's Degree"/>
    <x v="17"/>
    <s v="Sales Representative"/>
    <n v="49400"/>
    <n v="31.1"/>
    <n v="20"/>
  </r>
  <r>
    <n v="19"/>
    <s v="Beverie Moffet"/>
    <s v="AC0019"/>
    <s v="Female"/>
    <s v="Master's Degree"/>
    <x v="18"/>
    <s v="Product Manager"/>
    <n v="82700"/>
    <n v="33.5"/>
    <n v="23"/>
  </r>
  <r>
    <n v="20"/>
    <s v="Oby Sorrel"/>
    <s v="AC0020"/>
    <s v="Male"/>
    <s v="High School Diploma"/>
    <x v="19"/>
    <s v="Production Operator"/>
    <n v="38200"/>
    <n v="31.1"/>
    <n v="16"/>
  </r>
  <r>
    <n v="21"/>
    <s v="Mallorie Waber"/>
    <s v="AC0021"/>
    <s v="Female"/>
    <s v="Diploma"/>
    <x v="20"/>
    <s v="Packaging Associate"/>
    <n v="32600"/>
    <n v="31.5"/>
    <n v="16"/>
  </r>
  <r>
    <n v="22"/>
    <s v="Jehu Rudeforth"/>
    <s v="AC0022"/>
    <s v="Male"/>
    <s v="Bachelor's Degree"/>
    <x v="21"/>
    <s v="Research Scientist"/>
    <n v="76800"/>
    <n v="32.700000000000003"/>
    <n v="22"/>
  </r>
  <r>
    <n v="23"/>
    <s v="Van Tuxwell"/>
    <s v="AC0023"/>
    <s v="Female"/>
    <s v="Master's Degree"/>
    <x v="22"/>
    <s v="Marketing Specialist"/>
    <n v="62300"/>
    <n v="33.799999999999997"/>
    <n v="23"/>
  </r>
  <r>
    <n v="24"/>
    <s v="Roddy Speechley"/>
    <s v="AC0024"/>
    <s v="Male"/>
    <s v="Bachelor's Degree"/>
    <x v="23"/>
    <s v="Sales Representative"/>
    <n v="46200"/>
    <n v="30.1"/>
    <n v="19"/>
  </r>
  <r>
    <n v="25"/>
    <s v="Camilla Castle"/>
    <s v="AC0025"/>
    <s v="Female"/>
    <s v="High School Diploma"/>
    <x v="24"/>
    <s v="Packaging Associate"/>
    <n v="32500"/>
    <n v="63.7"/>
    <n v="12"/>
  </r>
  <r>
    <n v="26"/>
    <s v="Janene Hairsine"/>
    <s v="AC0026"/>
    <s v="Male"/>
    <s v="Diploma"/>
    <x v="25"/>
    <s v="Quality Control"/>
    <n v="43100"/>
    <n v="33.799999999999997"/>
    <n v="16"/>
  </r>
  <r>
    <n v="27"/>
    <s v="Niall Selesnick"/>
    <s v="AC0027"/>
    <s v="Female"/>
    <s v="Bachelor's Degree"/>
    <x v="26"/>
    <s v="Research Analyst"/>
    <n v="60000"/>
    <n v="28.8"/>
    <n v="18"/>
  </r>
  <r>
    <n v="28"/>
    <s v="Ebonee Roxburgh"/>
    <s v="AC0028"/>
    <s v="Male"/>
    <s v="Master's Degree"/>
    <x v="27"/>
    <s v="Product Manager"/>
    <n v="82100"/>
    <n v="32.700000000000003"/>
    <n v="14"/>
  </r>
  <r>
    <n v="29"/>
    <s v="Zach Polon"/>
    <s v="AC0029"/>
    <s v="Female"/>
    <s v="High School Diploma"/>
    <x v="28"/>
    <s v="Production Operator"/>
    <n v="35900"/>
    <n v="29.9"/>
    <n v="15"/>
  </r>
  <r>
    <n v="30"/>
    <s v="Orton Livick"/>
    <s v="AC0030"/>
    <s v="Male"/>
    <s v="Diploma"/>
    <x v="29"/>
    <s v="Packaging Associate"/>
    <n v="31100"/>
    <n v="27"/>
    <n v="20"/>
  </r>
  <r>
    <n v="31"/>
    <s v="Gray Seamon"/>
    <s v="AC0031"/>
    <s v="Female"/>
    <s v="Bachelor's Degree"/>
    <x v="30"/>
    <s v="Marketing Manager"/>
    <n v="74200"/>
    <n v="30.6"/>
    <n v="27"/>
  </r>
  <r>
    <n v="32"/>
    <s v="Benny Karolovsky"/>
    <s v="AC0032"/>
    <s v="Male"/>
    <s v="Master's Degree"/>
    <x v="31"/>
    <s v="Research Analyst"/>
    <n v="57100"/>
    <n v="28.7"/>
    <n v="13"/>
  </r>
  <r>
    <n v="33"/>
    <s v="Dyna Doucette"/>
    <s v="AC0033"/>
    <s v="Female"/>
    <s v="High School Diploma"/>
    <x v="32"/>
    <s v="Packaging Associate"/>
    <n v="35200"/>
    <n v="33.700000000000003"/>
    <n v="21"/>
  </r>
  <r>
    <n v="34"/>
    <s v="Erin Androsik"/>
    <s v="AC0034"/>
    <s v="Male"/>
    <s v="Diploma"/>
    <x v="33"/>
    <s v="Quality Control"/>
    <n v="42800"/>
    <n v="31.2"/>
    <n v="18"/>
  </r>
  <r>
    <n v="35"/>
    <s v="Madge McCloughen"/>
    <s v="AC0035"/>
    <s v="Female"/>
    <s v="Bachelor's Degree"/>
    <x v="34"/>
    <s v="Sales Representative"/>
    <n v="46900"/>
    <n v="34.9"/>
    <n v="16"/>
  </r>
  <r>
    <n v="36"/>
    <s v="Esmaria Denecamp"/>
    <s v="AC0036"/>
    <s v="Male"/>
    <s v="Master's Degree"/>
    <x v="35"/>
    <s v="Product Manager"/>
    <n v="80700"/>
    <n v="26.1"/>
    <n v="13"/>
  </r>
  <r>
    <n v="37"/>
    <s v="Hogan Iles"/>
    <s v="AC0037"/>
    <s v="Female"/>
    <s v="High School Diploma"/>
    <x v="36"/>
    <s v="Production Operator"/>
    <n v="36500"/>
    <n v="23.5"/>
    <n v="17"/>
  </r>
  <r>
    <n v="38"/>
    <s v="Valentia Etteridge"/>
    <s v="AC0038"/>
    <s v="Male"/>
    <s v="Diploma"/>
    <x v="37"/>
    <s v="Packaging Associate"/>
    <n v="31900"/>
    <n v="29.6"/>
    <n v="25"/>
  </r>
  <r>
    <n v="39"/>
    <s v="Archibald Filliskirk"/>
    <s v="AC0039"/>
    <s v="Female"/>
    <s v="Bachelor's Degree"/>
    <x v="38"/>
    <s v="Chocolatier"/>
    <n v="52700"/>
    <n v="32.200000000000003"/>
    <n v="16"/>
  </r>
  <r>
    <n v="40"/>
    <s v="Lindy Guillet"/>
    <s v="AC0040"/>
    <s v="Male"/>
    <s v="Master's Degree"/>
    <x v="39"/>
    <s v="Marketing Specialist"/>
    <n v="61400"/>
    <n v="37.799999999999997"/>
    <n v="15"/>
  </r>
  <r>
    <n v="41"/>
    <s v="Dell Molloy"/>
    <s v="AC0041"/>
    <s v="Female"/>
    <s v="High School Diploma"/>
    <x v="40"/>
    <s v="Research Scientist"/>
    <n v="79300"/>
    <n v="34.9"/>
    <n v="18"/>
  </r>
  <r>
    <n v="42"/>
    <s v="Ewart Laphorn"/>
    <s v="AC0042"/>
    <s v="Male"/>
    <s v="Diploma"/>
    <x v="41"/>
    <s v="Sales Representative"/>
    <n v="49000"/>
    <n v="35.299999999999997"/>
    <n v="13"/>
  </r>
  <r>
    <n v="43"/>
    <s v="Vic Radolf"/>
    <s v="AC0043"/>
    <s v="Female"/>
    <s v="Bachelor's Degree"/>
    <x v="42"/>
    <s v="Quality Control"/>
    <n v="44800"/>
    <n v="30"/>
    <n v="17"/>
  </r>
  <r>
    <n v="44"/>
    <s v="Virginia McConville"/>
    <s v="AC0044"/>
    <s v="Male"/>
    <s v="High School Diploma"/>
    <x v="43"/>
    <s v="Packaging Associate"/>
    <n v="29700"/>
    <n v="32.299999999999997"/>
    <n v="15"/>
  </r>
  <r>
    <n v="45"/>
    <s v="Kaye Crocroft"/>
    <s v="AC0045"/>
    <s v="Female"/>
    <s v="Diploma"/>
    <x v="44"/>
    <s v="Production Operator"/>
    <n v="39700"/>
    <n v="30"/>
    <n v="18"/>
  </r>
  <r>
    <n v="46"/>
    <s v="Mollie Hanway"/>
    <s v="AC0046"/>
    <s v="Male"/>
    <s v="Bachelor's Degree"/>
    <x v="45"/>
    <s v="Chocolatier"/>
    <n v="52500"/>
    <n v="55.9"/>
    <n v="16"/>
  </r>
  <r>
    <n v="47"/>
    <s v="Hoyt D'Alesco"/>
    <s v="AC0047"/>
    <s v="Female"/>
    <s v="Master's Degree"/>
    <x v="46"/>
    <s v="Marketing Manager"/>
    <n v="73500"/>
    <n v="62.6"/>
    <n v="23"/>
  </r>
  <r>
    <n v="48"/>
    <s v="Crissie Cordel"/>
    <s v="AC0048"/>
    <s v="Female"/>
    <s v="Bachelor's Degree"/>
    <x v="47"/>
    <s v="Research Analyst"/>
    <n v="57800"/>
    <n v="34.200000000000003"/>
    <n v="14"/>
  </r>
  <r>
    <n v="49"/>
    <s v="Myer McCory"/>
    <s v="AC0049"/>
    <s v="Male"/>
    <s v="High School Diploma"/>
    <x v="48"/>
    <s v="Packaging Associate"/>
    <n v="34900"/>
    <n v="30.2"/>
    <n v="19"/>
  </r>
  <r>
    <n v="50"/>
    <s v="Enoch Dowrey"/>
    <s v="AC0050"/>
    <s v="Female"/>
    <s v="Diploma"/>
    <x v="49"/>
    <s v="Quality Control"/>
    <n v="44400"/>
    <n v="31.5"/>
    <n v="18"/>
  </r>
  <r>
    <n v="51"/>
    <s v="Kissiah Maydway"/>
    <s v="AC0051"/>
    <s v="Female"/>
    <s v="Bachelor's Degree"/>
    <x v="50"/>
    <s v="Sales Representative"/>
    <n v="46000"/>
    <n v="53.5"/>
    <n v="15"/>
  </r>
  <r>
    <n v="52"/>
    <s v="Ambros Murthwaite"/>
    <s v="AC0052"/>
    <s v="Female"/>
    <s v="Master's Degree"/>
    <x v="51"/>
    <s v="Product Manager"/>
    <n v="84800"/>
    <n v="34.4"/>
    <n v="18"/>
  </r>
  <r>
    <n v="53"/>
    <s v="Torrance Collier"/>
    <s v="AC0053"/>
    <s v="Male"/>
    <s v="High School Diploma"/>
    <x v="52"/>
    <s v="Production Operator"/>
    <n v="39300"/>
    <n v="37.9"/>
    <n v="16"/>
  </r>
  <r>
    <n v="54"/>
    <s v="Allene Gobbet"/>
    <s v="AC0054"/>
    <s v="Male"/>
    <s v="Diploma"/>
    <x v="53"/>
    <s v="Packaging Associate"/>
    <n v="29000"/>
    <n v="30.4"/>
    <n v="30"/>
  </r>
  <r>
    <n v="55"/>
    <s v="Violante Courtonne"/>
    <s v="AC0055"/>
    <s v="Female"/>
    <s v="Bachelor's Degree"/>
    <x v="54"/>
    <s v="Chocolatier"/>
    <n v="53900"/>
    <n v="32.5"/>
    <n v="23"/>
  </r>
  <r>
    <n v="56"/>
    <s v="Merrilee Plenty"/>
    <s v="AC0056"/>
    <s v="Male"/>
    <s v="Master's Degree"/>
    <x v="55"/>
    <s v="Marketing Specialist"/>
    <n v="63600"/>
    <n v="35"/>
    <n v="10"/>
  </r>
  <r>
    <n v="57"/>
    <s v="Tatum Hush"/>
    <s v="AC0057"/>
    <s v="Female"/>
    <s v="High School Diploma"/>
    <x v="56"/>
    <s v="Research Scientist"/>
    <n v="77000"/>
    <n v="36.299999999999997"/>
    <n v="17"/>
  </r>
  <r>
    <n v="58"/>
    <s v="Kath Bletsoe"/>
    <s v="AC0058"/>
    <s v="Male"/>
    <s v="Bachelor's Degree"/>
    <x v="57"/>
    <s v="Sales Representative"/>
    <n v="49700"/>
    <n v="30.9"/>
    <n v="19"/>
  </r>
  <r>
    <n v="59"/>
    <s v="Hinda Label"/>
    <s v="AC0059"/>
    <s v="Female"/>
    <s v="Diploma"/>
    <x v="58"/>
    <s v="Quality Control"/>
    <n v="43000"/>
    <n v="33.6"/>
    <n v="4"/>
  </r>
  <r>
    <n v="60"/>
    <s v="Shari McNee"/>
    <s v="AC0060"/>
    <s v="Female"/>
    <s v="Bachelor's Degree"/>
    <x v="59"/>
    <s v="Packaging Associate"/>
    <n v="36200"/>
    <n v="36"/>
    <n v="19"/>
  </r>
  <r>
    <n v="61"/>
    <s v="My Hanscome"/>
    <s v="AC0061"/>
    <s v="Male"/>
    <s v="Master's Degree"/>
    <x v="60"/>
    <s v="Marketing Manager"/>
    <n v="70800"/>
    <n v="36.799999999999997"/>
    <n v="18"/>
  </r>
  <r>
    <n v="62"/>
    <s v="Drusy MacCombe"/>
    <s v="AC0062"/>
    <s v="Male"/>
    <s v="High School Diploma"/>
    <x v="61"/>
    <s v="Research Analyst"/>
    <n v="55700"/>
    <n v="31.6"/>
    <n v="22"/>
  </r>
  <r>
    <n v="63"/>
    <s v="Halimeda Kuscha"/>
    <s v="AC0063"/>
    <s v="Female"/>
    <s v="Diploma"/>
    <x v="62"/>
    <s v="Product Manager"/>
    <n v="83600"/>
    <n v="33.1"/>
    <n v="18"/>
  </r>
  <r>
    <n v="64"/>
    <s v="William Reeveley"/>
    <s v="AC0064"/>
    <s v="Male"/>
    <s v="Bachelor's Degree"/>
    <x v="63"/>
    <s v="Production Operator"/>
    <n v="39800"/>
    <n v="31.3"/>
    <n v="15"/>
  </r>
  <r>
    <n v="65"/>
    <s v="Tracy Renad"/>
    <s v="AC0065"/>
    <s v="Female"/>
    <s v="Master's Degree"/>
    <x v="64"/>
    <s v="Chocolatier"/>
    <n v="51400"/>
    <n v="33.9"/>
    <n v="8"/>
  </r>
  <r>
    <n v="66"/>
    <s v="Kassi Jonson"/>
    <s v="AC0066"/>
    <s v="Male"/>
    <s v="High School Diploma"/>
    <x v="65"/>
    <s v="Marketing Specialist"/>
    <n v="63100"/>
    <n v="30.2"/>
    <n v="21"/>
  </r>
  <r>
    <n v="67"/>
    <s v="Constantino Espley"/>
    <s v="AC0067"/>
    <s v="Female"/>
    <s v="Bachelor's Degree"/>
    <x v="66"/>
    <s v="Research Scientist"/>
    <n v="76300"/>
    <n v="65.400000000000006"/>
    <n v="16"/>
  </r>
  <r>
    <n v="68"/>
    <s v="Mollie Hanway"/>
    <s v="AC0068"/>
    <s v="Female"/>
    <s v="Diploma"/>
    <x v="67"/>
    <s v="Sales Representative"/>
    <n v="47800"/>
    <n v="27.7"/>
    <n v="19"/>
  </r>
  <r>
    <n v="69"/>
    <s v="Gretchen Callow"/>
    <s v="AC0069"/>
    <s v="Male"/>
    <s v="Bachelor's Degree"/>
    <x v="68"/>
    <s v="Quality Control"/>
    <n v="41500"/>
    <n v="33.4"/>
    <n v="13"/>
  </r>
  <r>
    <n v="70"/>
    <s v="Bev Lashley"/>
    <s v="AC0070"/>
    <s v="Female"/>
    <s v="High School Diploma"/>
    <x v="69"/>
    <s v="Packaging Associate"/>
    <n v="33600"/>
    <n v="46"/>
    <n v="16"/>
  </r>
  <r>
    <n v="71"/>
    <s v="Sibyl Dunkirk"/>
    <s v="AC0071"/>
    <s v="Male"/>
    <s v="Diploma"/>
    <x v="70"/>
    <s v="Production Operator"/>
    <n v="37000"/>
    <n v="33"/>
    <n v="17"/>
  </r>
  <r>
    <n v="72"/>
    <s v="Trio Lipa"/>
    <s v="AC0072"/>
    <s v="Female"/>
    <s v="Bachelor's Degree"/>
    <x v="71"/>
    <s v="Research Analyst"/>
    <n v="56700"/>
    <n v="35"/>
    <n v="14"/>
  </r>
  <r>
    <n v="73"/>
    <s v="Shayne Stegel"/>
    <s v="AC0073"/>
    <s v="Male"/>
    <s v="Master's Degree"/>
    <x v="72"/>
    <s v="Product Manager"/>
    <n v="84700"/>
    <n v="34.799999999999997"/>
    <n v="20"/>
  </r>
  <r>
    <n v="74"/>
    <s v="Hyacinthie Braybrooke"/>
    <s v="AC0074"/>
    <s v="Female"/>
    <s v="High School Diploma"/>
    <x v="73"/>
    <s v="Chocolatier"/>
    <n v="51300"/>
    <n v="36.299999999999997"/>
    <n v="14"/>
  </r>
  <r>
    <n v="75"/>
    <s v="Agnes Collicott"/>
    <s v="AC0075"/>
    <s v="Female"/>
    <s v="Diploma"/>
    <x v="74"/>
    <s v="Marketing Manager"/>
    <n v="74800"/>
    <n v="31.2"/>
    <n v="20"/>
  </r>
  <r>
    <n v="76"/>
    <s v="Teressa Udden"/>
    <s v="AC0076"/>
    <s v="Male"/>
    <s v="Bachelor's Degree"/>
    <x v="75"/>
    <s v="Research Scientist"/>
    <n v="78400"/>
    <n v="31"/>
    <n v="22"/>
  </r>
  <r>
    <n v="77"/>
    <s v="Bennie Pepis"/>
    <s v="AC0077"/>
    <s v="Female"/>
    <s v="High School Diploma"/>
    <x v="76"/>
    <s v="Sales Representative"/>
    <n v="48300"/>
    <n v="27.7"/>
    <n v="20"/>
  </r>
  <r>
    <n v="78"/>
    <s v="Elia Cockton"/>
    <s v="AC0078"/>
    <s v="Female"/>
    <s v="Diploma"/>
    <x v="77"/>
    <s v="Quality Control"/>
    <n v="42100"/>
    <n v="35.9"/>
    <n v="16"/>
  </r>
  <r>
    <n v="79"/>
    <s v="A R Rahadude"/>
    <s v="AC0079"/>
    <s v="Female"/>
    <s v="Bachelor's Degree"/>
    <x v="78"/>
    <s v="Packaging Associate"/>
    <n v="36000"/>
    <n v="31.6"/>
    <n v="17"/>
  </r>
  <r>
    <n v="80"/>
    <s v="Murry Dryburgh"/>
    <s v="AC0080"/>
    <s v="Male"/>
    <s v="Master's Degree"/>
    <x v="79"/>
    <s v="Production Operator"/>
    <n v="37700"/>
    <n v="34.799999999999997"/>
    <n v="20"/>
  </r>
  <r>
    <n v="81"/>
    <s v="Mahalia Larcher"/>
    <s v="AC0081"/>
    <s v="Female"/>
    <s v="High School Diploma"/>
    <x v="80"/>
    <s v="Research Analyst"/>
    <n v="56900"/>
    <n v="30.5"/>
    <n v="12"/>
  </r>
  <r>
    <n v="82"/>
    <s v="Bili Sizey"/>
    <s v="AC0082"/>
    <s v="Female"/>
    <s v="Diploma"/>
    <x v="81"/>
    <s v="Product Manager"/>
    <n v="81600"/>
    <n v="61.7"/>
    <n v="6"/>
  </r>
  <r>
    <n v="83"/>
    <s v="Lilyan Klimpt"/>
    <s v="AC0083"/>
    <s v="Male"/>
    <s v="Bachelor's Degree"/>
    <x v="82"/>
    <s v="Chocolatier"/>
    <n v="51200"/>
    <n v="42.6"/>
    <n v="22"/>
  </r>
  <r>
    <n v="84"/>
    <s v="Almond Joy"/>
    <s v="AC0084"/>
    <s v="Female"/>
    <s v="Master's Degree"/>
    <x v="83"/>
    <s v="Marketing Specialist"/>
    <n v="61400"/>
    <n v="31"/>
    <n v="15"/>
  </r>
  <r>
    <n v="85"/>
    <s v="Leilah Yesinin"/>
    <s v="AC0085"/>
    <s v="Male"/>
    <s v="High School Diploma"/>
    <x v="84"/>
    <s v="Research Scientist"/>
    <n v="76700"/>
    <n v="31.4"/>
    <n v="16"/>
  </r>
  <r>
    <n v="86"/>
    <s v="Collin Jagson"/>
    <s v="AC0086"/>
    <s v="Female"/>
    <s v="Diploma"/>
    <x v="85"/>
    <s v="Sales Representative"/>
    <n v="49800"/>
    <n v="50.3"/>
    <n v="15"/>
  </r>
  <r>
    <n v="87"/>
    <s v="Kellsie Waby"/>
    <s v="AC0087"/>
    <s v="Male"/>
    <s v="Bachelor's Degree"/>
    <x v="86"/>
    <s v="Quality Control"/>
    <n v="43000"/>
    <n v="60.8"/>
    <n v="24"/>
  </r>
  <r>
    <n v="88"/>
    <s v="Simon Kembery"/>
    <s v="AC0088"/>
    <s v="Female"/>
    <s v="High School Diploma"/>
    <x v="87"/>
    <s v="Packaging Associate"/>
    <n v="36200"/>
    <n v="39.799999999999997"/>
    <n v="14"/>
  </r>
  <r>
    <n v="89"/>
    <s v="Tawnya Tickel"/>
    <s v="AC0089"/>
    <s v="Male"/>
    <s v="Diploma"/>
    <x v="88"/>
    <s v="Production Operator"/>
    <n v="36400"/>
    <n v="38.299999999999997"/>
    <n v="20"/>
  </r>
  <r>
    <n v="90"/>
    <s v="Bernie Gorges"/>
    <s v="AC0090"/>
    <s v="Female"/>
    <s v="Bachelor's Degree"/>
    <x v="89"/>
    <s v="Chocolatier"/>
    <n v="54900"/>
    <n v="31.6"/>
    <n v="17"/>
  </r>
  <r>
    <n v="91"/>
    <s v="Florinda Crace"/>
    <s v="AC0091"/>
    <s v="Male"/>
    <s v="Master's Degree"/>
    <x v="90"/>
    <s v="Marketing Manager"/>
    <n v="74200"/>
    <n v="30.7"/>
    <n v="17"/>
  </r>
  <r>
    <n v="92"/>
    <s v="Oran Buxcy"/>
    <s v="AC0092"/>
    <s v="Male"/>
    <s v="High School Diploma"/>
    <x v="36"/>
    <s v="Research Analyst"/>
    <n v="58700"/>
    <n v="47.3"/>
    <n v="6"/>
  </r>
  <r>
    <n v="93"/>
    <s v="Anvi Verma"/>
    <s v="AC0093"/>
    <s v="Female"/>
    <s v="Diploma"/>
    <x v="91"/>
    <s v="Product Manager"/>
    <n v="81100"/>
    <n v="34.6"/>
    <n v="16"/>
  </r>
  <r>
    <n v="94"/>
    <s v="Zara Mishra"/>
    <s v="AC0094"/>
    <s v="Female"/>
    <s v="Bachelor's Degree"/>
    <x v="92"/>
    <s v="Production Operator"/>
    <n v="38300"/>
    <n v="33.700000000000003"/>
    <n v="14"/>
  </r>
  <r>
    <n v="95"/>
    <s v="Dev Joshi"/>
    <s v="AC0095"/>
    <s v="Male"/>
    <s v="Master's Degree"/>
    <x v="64"/>
    <s v="Chocolatier"/>
    <n v="51100"/>
    <n v="36.200000000000003"/>
    <n v="15"/>
  </r>
  <r>
    <n v="96"/>
    <s v="Pari Sharma"/>
    <s v="AC0096"/>
    <s v="Female"/>
    <s v="High School Diploma"/>
    <x v="93"/>
    <s v="Marketing Specialist"/>
    <n v="63500"/>
    <n v="28.5"/>
    <n v="20"/>
  </r>
  <r>
    <n v="97"/>
    <s v="Aanya Kapoor"/>
    <s v="AC0097"/>
    <s v="Female"/>
    <s v="Bachelor's Degree"/>
    <x v="94"/>
    <s v="Research Scientist"/>
    <n v="78900"/>
    <n v="30.3"/>
    <n v="17"/>
  </r>
  <r>
    <n v="98"/>
    <s v="Kiara Choudhary"/>
    <s v="AC0098"/>
    <s v="Female"/>
    <s v="Diploma"/>
    <x v="95"/>
    <s v="Sales Representative"/>
    <n v="46000"/>
    <n v="38"/>
    <n v="21"/>
  </r>
  <r>
    <n v="99"/>
    <s v="Reyansh Iyer"/>
    <s v="AC0099"/>
    <s v="Male"/>
    <s v="Bachelor's Degree"/>
    <x v="96"/>
    <s v="Quality Control"/>
    <n v="44400"/>
    <n v="35.1"/>
    <n v="16"/>
  </r>
  <r>
    <n v="100"/>
    <s v="Samaira Agarwal"/>
    <s v="AC0100"/>
    <s v="Female"/>
    <s v="High School Diploma"/>
    <x v="97"/>
    <s v="Packaging Associate"/>
    <n v="36200"/>
    <n v="39.5"/>
    <n v="24"/>
  </r>
  <r>
    <n v="101"/>
    <s v="Avani Malhotra"/>
    <s v="AC0101"/>
    <s v="Female"/>
    <s v="Diploma"/>
    <x v="98"/>
    <s v="Production Operator"/>
    <n v="38800"/>
    <n v="31.9"/>
    <n v="20"/>
  </r>
  <r>
    <n v="102"/>
    <s v="Kiaan Rana"/>
    <s v="AC0102"/>
    <s v="Male"/>
    <s v="Bachelor's Degree"/>
    <x v="99"/>
    <s v="Research Analyst"/>
    <n v="57800"/>
    <n v="36.6"/>
    <n v="15"/>
  </r>
  <r>
    <n v="103"/>
    <s v="Aarav Shah"/>
    <s v="AC0103"/>
    <s v="Male"/>
    <s v="Master's Degree"/>
    <x v="100"/>
    <s v="Product Manager"/>
    <n v="82800"/>
    <n v="51.8"/>
    <n v="20"/>
  </r>
  <r>
    <n v="104"/>
    <s v="Anaya Gupta"/>
    <s v="AC0104"/>
    <s v="Female"/>
    <s v="High School Diploma"/>
    <x v="101"/>
    <s v="Chocolatier"/>
    <n v="53900"/>
    <n v="35.6"/>
    <n v="15"/>
  </r>
  <r>
    <n v="105"/>
    <s v="Munch Munch"/>
    <s v="AC0105"/>
    <s v="Male"/>
    <s v="Diploma"/>
    <x v="102"/>
    <s v="Marketing Manager"/>
    <n v="73900"/>
    <n v="30.1"/>
    <n v="12"/>
  </r>
  <r>
    <n v="106"/>
    <s v="Siya Trivedi"/>
    <s v="AC0106"/>
    <s v="Female"/>
    <s v="Bachelor's Degree"/>
    <x v="103"/>
    <s v="Research Scientist"/>
    <n v="76100"/>
    <n v="28"/>
    <n v="16"/>
  </r>
  <r>
    <n v="107"/>
    <s v="Kabir Kapoor"/>
    <s v="AC0107"/>
    <s v="Male"/>
    <s v="High School Diploma"/>
    <x v="104"/>
    <s v="Sales Representative"/>
    <n v="45500"/>
    <n v="29.3"/>
    <n v="14"/>
  </r>
  <r>
    <n v="108"/>
    <s v="Rhea Saxena"/>
    <s v="AC0108"/>
    <s v="Female"/>
    <s v="Diploma"/>
    <x v="105"/>
    <s v="Quality Control"/>
    <n v="44600"/>
    <n v="36.799999999999997"/>
    <n v="10"/>
  </r>
  <r>
    <n v="109"/>
    <s v="Advait Sharma"/>
    <s v="AC0109"/>
    <s v="Male"/>
    <s v="Bachelor's Degree"/>
    <x v="106"/>
    <s v="Packaging Associate"/>
    <n v="36100"/>
    <n v="27.2"/>
    <n v="8"/>
  </r>
  <r>
    <n v="110"/>
    <s v="Aarush Mishra"/>
    <s v="AC0110"/>
    <s v="Male"/>
    <s v="Master's Degree"/>
    <x v="107"/>
    <s v="Production Operator"/>
    <n v="35500"/>
    <n v="29.6"/>
    <n v="24"/>
  </r>
  <r>
    <n v="111"/>
    <s v="Anika Chawla"/>
    <s v="AC0111"/>
    <s v="Female"/>
    <s v="High School Diploma"/>
    <x v="108"/>
    <s v="Research Analyst"/>
    <n v="58000"/>
    <n v="33"/>
    <n v="13"/>
  </r>
  <r>
    <n v="112"/>
    <s v="Zara Verma"/>
    <s v="AC0112"/>
    <s v="Female"/>
    <s v="Diploma"/>
    <x v="109"/>
    <s v="Product Manager"/>
    <n v="81400"/>
    <n v="35.200000000000003"/>
    <n v="19"/>
  </r>
  <r>
    <n v="113"/>
    <s v="Dev Agarwal"/>
    <s v="AC0113"/>
    <s v="Male"/>
    <s v="Bachelor's Degree"/>
    <x v="110"/>
    <s v="Chocolatier"/>
    <n v="51000"/>
    <n v="34.799999999999997"/>
    <n v="22"/>
  </r>
  <r>
    <n v="114"/>
    <s v="Pari Kumar"/>
    <s v="AC0114"/>
    <s v="Female"/>
    <s v="Master's Degree"/>
    <x v="111"/>
    <s v="Marketing Specialist"/>
    <n v="61600"/>
    <n v="31.4"/>
    <n v="15"/>
  </r>
  <r>
    <n v="115"/>
    <s v="Aanya Singh"/>
    <s v="AC0115"/>
    <s v="Female"/>
    <s v="High School Diploma"/>
    <x v="112"/>
    <s v="Research Scientist"/>
    <n v="77100"/>
    <n v="31.7"/>
    <n v="9"/>
  </r>
  <r>
    <n v="116"/>
    <s v="Kiara Joshi"/>
    <s v="AC0116"/>
    <s v="Female"/>
    <s v="Diploma"/>
    <x v="113"/>
    <s v="Sales Representative"/>
    <n v="47900"/>
    <n v="31.7"/>
    <n v="9"/>
  </r>
  <r>
    <n v="117"/>
    <s v="Reyansh Malhotra"/>
    <s v="AC0117"/>
    <s v="Male"/>
    <s v="Bachelor's Degree"/>
    <x v="114"/>
    <s v="Quality Control"/>
    <n v="43000"/>
    <n v="28.2"/>
    <n v="17"/>
  </r>
  <r>
    <n v="118"/>
    <s v="M&amp;M Peanut"/>
    <s v="AC0118"/>
    <s v="Female"/>
    <s v="High School Diploma"/>
    <x v="115"/>
    <s v="Packaging Associate"/>
    <n v="35100"/>
    <n v="35.700000000000003"/>
    <n v="21"/>
  </r>
  <r>
    <n v="119"/>
    <s v="Avani Agarwal"/>
    <s v="AC0119"/>
    <s v="Female"/>
    <s v="Diploma"/>
    <x v="116"/>
    <s v="Production Operator"/>
    <n v="39700"/>
    <n v="31.1"/>
    <n v="16"/>
  </r>
  <r>
    <n v="120"/>
    <s v="Nestle Crunch"/>
    <s v="AC0120"/>
    <s v="Male"/>
    <s v="Bachelor's Degree"/>
    <x v="117"/>
    <s v="Research Analyst"/>
    <n v="59200"/>
    <n v="30.9"/>
    <n v="18"/>
  </r>
  <r>
    <n v="121"/>
    <s v="Aarav Verma"/>
    <s v="AC0121"/>
    <s v="Male"/>
    <s v="Master's Degree"/>
    <x v="118"/>
    <s v="Product Manager"/>
    <n v="85000"/>
    <n v="65.099999999999994"/>
    <n v="5"/>
  </r>
  <r>
    <n v="122"/>
    <s v="Anaya Choudhary"/>
    <s v="AC0122"/>
    <s v="Female"/>
    <s v="High School Diploma"/>
    <x v="119"/>
    <s v="Chocolatier"/>
    <n v="52700"/>
    <n v="29.5"/>
    <n v="10"/>
  </r>
  <r>
    <n v="123"/>
    <s v="Krish Trivedi"/>
    <s v="AC0123"/>
    <s v="Male"/>
    <s v="Diploma"/>
    <x v="120"/>
    <s v="Marketing Manager"/>
    <n v="74900"/>
    <n v="33.799999999999997"/>
    <n v="11"/>
  </r>
  <r>
    <n v="124"/>
    <s v="Siya Rawat"/>
    <s v="AC0124"/>
    <s v="Female"/>
    <s v="Bachelor's Degree"/>
    <x v="121"/>
    <s v="Research Scientist"/>
    <n v="77500"/>
    <n v="30.3"/>
    <n v="14"/>
  </r>
  <r>
    <n v="125"/>
    <s v="Kabir Shah"/>
    <s v="AC0125"/>
    <s v="Male"/>
    <s v="High School Diploma"/>
    <x v="122"/>
    <s v="Sales Representative"/>
    <n v="45900"/>
    <n v="37.4"/>
    <n v="16"/>
  </r>
  <r>
    <n v="126"/>
    <s v="Rhea Bhatia"/>
    <s v="AC0126"/>
    <s v="Female"/>
    <s v="Diploma"/>
    <x v="123"/>
    <s v="Quality Control"/>
    <n v="45000"/>
    <n v="36.299999999999997"/>
    <n v="2"/>
  </r>
  <r>
    <n v="127"/>
    <s v="Advait Kumar"/>
    <s v="AC0127"/>
    <s v="Male"/>
    <s v="Bachelor's Degree"/>
    <x v="124"/>
    <s v="Packaging Associate"/>
    <n v="33100"/>
    <n v="34.299999999999997"/>
    <n v="9"/>
  </r>
  <r>
    <n v="128"/>
    <s v="Aarush Verma"/>
    <s v="AC0128"/>
    <s v="Male"/>
    <s v="Master's Degree"/>
    <x v="125"/>
    <s v="Production Operator"/>
    <n v="37600"/>
    <n v="37.9"/>
    <n v="18"/>
  </r>
  <r>
    <n v="129"/>
    <s v="Anika Singh"/>
    <s v="AC0129"/>
    <s v="Female"/>
    <s v="High School Diploma"/>
    <x v="126"/>
    <s v="Research Analyst"/>
    <n v="58300"/>
    <n v="29.4"/>
    <n v="16"/>
  </r>
  <r>
    <n v="130"/>
    <s v="Zara Chawla"/>
    <s v="AC0130"/>
    <s v="Female"/>
    <s v="Diploma"/>
    <x v="127"/>
    <s v="Product Manager"/>
    <n v="83900"/>
    <n v="31.4"/>
    <n v="14"/>
  </r>
  <r>
    <n v="131"/>
    <s v="Dev Joshi"/>
    <s v="AC0131"/>
    <s v="Male"/>
    <s v="Bachelor's Degree"/>
    <x v="128"/>
    <s v="Chocolatier"/>
    <n v="51100"/>
    <n v="33.700000000000003"/>
    <n v="16"/>
  </r>
  <r>
    <n v="132"/>
    <s v="Pari Gupta"/>
    <s v="AC0132"/>
    <s v="Female"/>
    <s v="Master's Degree"/>
    <x v="129"/>
    <s v="Marketing Specialist"/>
    <n v="62900"/>
    <n v="36.799999999999997"/>
    <n v="15"/>
  </r>
  <r>
    <n v="133"/>
    <s v="Aanya Trivedi"/>
    <s v="AC0133"/>
    <s v="Female"/>
    <s v="High School Diploma"/>
    <x v="130"/>
    <s v="Research Scientist"/>
    <n v="79200"/>
    <n v="31.4"/>
    <n v="14"/>
  </r>
  <r>
    <n v="134"/>
    <s v="Kiara Bhatia"/>
    <s v="AC0134"/>
    <s v="Female"/>
    <s v="Diploma"/>
    <x v="131"/>
    <s v="Sales Representative"/>
    <n v="47000"/>
    <n v="32.299999999999997"/>
    <n v="22"/>
  </r>
  <r>
    <n v="135"/>
    <s v="Reyansh Rana"/>
    <s v="AC0135"/>
    <s v="Male"/>
    <s v="Bachelor's Degree"/>
    <x v="132"/>
    <s v="Quality Control"/>
    <n v="42400"/>
    <n v="66.2"/>
    <n v="19"/>
  </r>
  <r>
    <n v="136"/>
    <s v="Lindt Truffle"/>
    <s v="AC0136"/>
    <s v="Female"/>
    <s v="High School Diploma"/>
    <x v="133"/>
    <s v="Packaging Associate"/>
    <n v="33800"/>
    <n v="66.7"/>
    <n v="8"/>
  </r>
  <r>
    <n v="137"/>
    <s v="Avani Iyer"/>
    <s v="AC0137"/>
    <s v="Female"/>
    <s v="Diploma"/>
    <x v="69"/>
    <s v="Production Operator"/>
    <n v="36000"/>
    <n v="31"/>
    <n v="18"/>
  </r>
  <r>
    <n v="138"/>
    <s v="Kiaan Shah"/>
    <s v="AC0138"/>
    <s v="Male"/>
    <s v="Bachelor's Degree"/>
    <x v="134"/>
    <s v="Research Analyst"/>
    <n v="58500"/>
    <n v="31.3"/>
    <n v="23"/>
  </r>
  <r>
    <n v="139"/>
    <s v="Oreo Delight"/>
    <s v="AC0139"/>
    <s v="Male"/>
    <s v="Master's Degree"/>
    <x v="71"/>
    <s v="Product Manager"/>
    <n v="83200"/>
    <n v="31.6"/>
    <n v="9"/>
  </r>
  <r>
    <n v="140"/>
    <s v="Anaya Agarwal"/>
    <s v="AC0140"/>
    <s v="Female"/>
    <s v="High School Diploma"/>
    <x v="135"/>
    <s v="Chocolatier"/>
    <n v="51100"/>
    <n v="32.5"/>
    <n v="10"/>
  </r>
  <r>
    <n v="141"/>
    <s v="Krish Rawat"/>
    <s v="AC0141"/>
    <s v="Male"/>
    <s v="Diploma"/>
    <x v="136"/>
    <s v="Marketing Manager"/>
    <n v="73200"/>
    <n v="30.6"/>
    <n v="12"/>
  </r>
  <r>
    <n v="142"/>
    <s v="Siya Sharma"/>
    <s v="AC0142"/>
    <s v="Female"/>
    <s v="Bachelor's Degree"/>
    <x v="137"/>
    <s v="Research Scientist"/>
    <n v="77800"/>
    <n v="28.9"/>
    <n v="6"/>
  </r>
  <r>
    <n v="143"/>
    <s v="Kabir Trivedi"/>
    <s v="AC0143"/>
    <s v="Male"/>
    <s v="High School Diploma"/>
    <x v="138"/>
    <s v="Sales Representative"/>
    <n v="45500"/>
    <n v="36.1"/>
    <n v="20"/>
  </r>
  <r>
    <n v="144"/>
    <s v="Rhea Malhotra"/>
    <s v="AC0144"/>
    <s v="Female"/>
    <s v="Diploma"/>
    <x v="139"/>
    <s v="Quality Control"/>
    <n v="41800"/>
    <n v="31.1"/>
    <n v="18"/>
  </r>
  <r>
    <n v="145"/>
    <s v="Advait Kapoor"/>
    <s v="AC0145"/>
    <s v="Male"/>
    <s v="Bachelor's Degree"/>
    <x v="140"/>
    <s v="Packaging Associate"/>
    <n v="32600"/>
    <n v="28.6"/>
    <n v="37"/>
  </r>
  <r>
    <n v="146"/>
    <s v="Zagnut Nut"/>
    <s v="AC0146"/>
    <s v="Male"/>
    <s v="Master's Degree"/>
    <x v="141"/>
    <s v="Production Operator"/>
    <n v="37600"/>
    <n v="30.8"/>
    <n v="9"/>
  </r>
  <r>
    <n v="147"/>
    <s v="Anika Joshi"/>
    <s v="AC0147"/>
    <s v="Female"/>
    <s v="High School Diploma"/>
    <x v="142"/>
    <s v="Research Analyst"/>
    <n v="59500"/>
    <n v="61.1"/>
    <n v="18"/>
  </r>
  <r>
    <n v="148"/>
    <s v="Zara Verma"/>
    <s v="AC0148"/>
    <s v="Female"/>
    <s v="Diploma"/>
    <x v="143"/>
    <s v="Product Manager"/>
    <n v="82400"/>
    <n v="33.799999999999997"/>
    <n v="14"/>
  </r>
  <r>
    <n v="149"/>
    <s v="Dev Chawla"/>
    <s v="AC0149"/>
    <s v="Male"/>
    <s v="Bachelor's Degree"/>
    <x v="144"/>
    <s v="Chocolatier"/>
    <n v="51300"/>
    <n v="32.700000000000003"/>
    <n v="23"/>
  </r>
  <r>
    <n v="150"/>
    <s v="Pari Gupta"/>
    <s v="AC0150"/>
    <s v="Female"/>
    <s v="Master's Degree"/>
    <x v="145"/>
    <s v="Marketing Specialist"/>
    <n v="61200"/>
    <n v="44.1"/>
    <n v="14"/>
  </r>
  <r>
    <n v="151"/>
    <s v="Aanya Singh"/>
    <s v="AC0151"/>
    <s v="Female"/>
    <s v="High School Diploma"/>
    <x v="146"/>
    <s v="Research Scientist"/>
    <n v="78200"/>
    <n v="27.6"/>
    <n v="21"/>
  </r>
  <r>
    <n v="152"/>
    <s v="Kiara Bhatia"/>
    <s v="AC0152"/>
    <s v="Female"/>
    <s v="Diploma"/>
    <x v="147"/>
    <s v="Sales Representative"/>
    <n v="48100"/>
    <n v="37.200000000000003"/>
    <n v="16"/>
  </r>
  <r>
    <n v="153"/>
    <s v="Reyansh Rana"/>
    <s v="AC0153"/>
    <s v="Male"/>
    <s v="Bachelor's Degree"/>
    <x v="116"/>
    <s v="Quality Control"/>
    <n v="44000"/>
    <n v="30.9"/>
    <n v="15"/>
  </r>
  <r>
    <n v="154"/>
    <s v="Eltin John"/>
    <s v="AC0154"/>
    <s v="Female"/>
    <s v="High School Diploma"/>
    <x v="148"/>
    <s v="Packaging Associate"/>
    <n v="36000"/>
    <n v="26"/>
    <n v="15"/>
  </r>
  <r>
    <n v="155"/>
    <s v="Avani Iyer"/>
    <s v="AC0155"/>
    <s v="Female"/>
    <s v="Diploma"/>
    <x v="149"/>
    <s v="Production Operator"/>
    <n v="37400"/>
    <n v="46.2"/>
    <n v="20"/>
  </r>
  <r>
    <n v="156"/>
    <s v="Kiaan Shah"/>
    <s v="AC0156"/>
    <s v="Male"/>
    <s v="Bachelor's Degree"/>
    <x v="150"/>
    <s v="Research Analyst"/>
    <n v="57100"/>
    <n v="33.9"/>
    <n v="16"/>
  </r>
  <r>
    <n v="157"/>
    <s v="Michael Walkson"/>
    <s v="AC0157"/>
    <s v="Male"/>
    <s v="Master's Degree"/>
    <x v="151"/>
    <s v="Product Manager"/>
    <n v="82300"/>
    <n v="34.4"/>
    <n v="18"/>
  </r>
  <r>
    <n v="158"/>
    <s v="Anaya Agarwal"/>
    <s v="AC0158"/>
    <s v="Female"/>
    <s v="High School Diploma"/>
    <x v="152"/>
    <s v="Chocolatier"/>
    <n v="52900"/>
    <n v="30.5"/>
    <n v="8"/>
  </r>
  <r>
    <n v="159"/>
    <s v="Krish Rawat"/>
    <s v="AC0159"/>
    <s v="Male"/>
    <s v="Diploma"/>
    <x v="153"/>
    <s v="Marketing Manager"/>
    <n v="71100"/>
    <n v="31.6"/>
    <n v="13"/>
  </r>
  <r>
    <n v="160"/>
    <s v="Siya Sharma"/>
    <s v="AC0160"/>
    <s v="Female"/>
    <s v="Bachelor's Degree"/>
    <x v="154"/>
    <s v="Research Scientist"/>
    <n v="76900"/>
    <n v="33.200000000000003"/>
    <n v="17"/>
  </r>
  <r>
    <n v="161"/>
    <s v="Kabir Trivedi"/>
    <s v="AC0161"/>
    <s v="Male"/>
    <s v="High School Diploma"/>
    <x v="155"/>
    <s v="Sales Representative"/>
    <n v="46400"/>
    <n v="37.1"/>
    <n v="11"/>
  </r>
  <r>
    <m/>
    <m/>
    <m/>
    <m/>
    <m/>
    <x v="156"/>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614A8E-C105-4E99-918F-14F80BCFA98A}"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11" firstHeaderRow="1" firstDataRow="1" firstDataCol="1"/>
  <pivotFields count="13">
    <pivotField showAll="0"/>
    <pivotField showAll="0">
      <items count="149">
        <item x="77"/>
        <item x="95"/>
        <item x="113"/>
        <item x="130"/>
        <item x="101"/>
        <item x="119"/>
        <item x="108"/>
        <item x="126"/>
        <item x="142"/>
        <item x="125"/>
        <item x="107"/>
        <item x="73"/>
        <item x="53"/>
        <item x="82"/>
        <item x="51"/>
        <item x="137"/>
        <item x="120"/>
        <item x="102"/>
        <item x="8"/>
        <item x="109"/>
        <item x="144"/>
        <item x="127"/>
        <item x="91"/>
        <item x="38"/>
        <item x="117"/>
        <item x="134"/>
        <item x="99"/>
        <item x="0"/>
        <item x="75"/>
        <item x="31"/>
        <item x="88"/>
        <item x="68"/>
        <item x="18"/>
        <item x="80"/>
        <item x="9"/>
        <item x="24"/>
        <item x="7"/>
        <item x="84"/>
        <item x="66"/>
        <item x="47"/>
        <item x="5"/>
        <item x="40"/>
        <item x="1"/>
        <item x="111"/>
        <item x="145"/>
        <item x="93"/>
        <item x="13"/>
        <item x="61"/>
        <item x="32"/>
        <item x="27"/>
        <item x="76"/>
        <item x="146"/>
        <item x="49"/>
        <item x="33"/>
        <item x="35"/>
        <item x="41"/>
        <item x="89"/>
        <item x="4"/>
        <item x="30"/>
        <item x="67"/>
        <item x="2"/>
        <item x="62"/>
        <item x="58"/>
        <item x="36"/>
        <item x="46"/>
        <item x="10"/>
        <item x="72"/>
        <item x="12"/>
        <item x="25"/>
        <item x="21"/>
        <item x="105"/>
        <item x="123"/>
        <item x="140"/>
        <item x="6"/>
        <item x="11"/>
        <item x="65"/>
        <item x="57"/>
        <item x="44"/>
        <item x="14"/>
        <item x="85"/>
        <item x="100"/>
        <item x="135"/>
        <item x="131"/>
        <item x="96"/>
        <item x="114"/>
        <item x="50"/>
        <item x="138"/>
        <item x="121"/>
        <item x="83"/>
        <item x="81"/>
        <item x="133"/>
        <item x="39"/>
        <item x="116"/>
        <item x="17"/>
        <item x="34"/>
        <item x="79"/>
        <item x="20"/>
        <item x="15"/>
        <item x="55"/>
        <item x="147"/>
        <item x="45"/>
        <item x="103"/>
        <item x="78"/>
        <item x="60"/>
        <item x="48"/>
        <item x="118"/>
        <item x="26"/>
        <item x="19"/>
        <item x="90"/>
        <item x="136"/>
        <item x="29"/>
        <item x="129"/>
        <item x="112"/>
        <item x="94"/>
        <item x="16"/>
        <item x="97"/>
        <item x="115"/>
        <item x="132"/>
        <item x="124"/>
        <item x="141"/>
        <item x="106"/>
        <item x="23"/>
        <item x="98"/>
        <item x="59"/>
        <item x="71"/>
        <item x="69"/>
        <item x="86"/>
        <item x="122"/>
        <item x="139"/>
        <item x="104"/>
        <item x="56"/>
        <item x="87"/>
        <item x="74"/>
        <item x="52"/>
        <item x="64"/>
        <item x="70"/>
        <item x="37"/>
        <item x="22"/>
        <item x="42"/>
        <item x="54"/>
        <item x="43"/>
        <item x="63"/>
        <item x="3"/>
        <item x="28"/>
        <item x="143"/>
        <item x="128"/>
        <item x="92"/>
        <item x="110"/>
        <item t="default"/>
      </items>
    </pivotField>
    <pivotField dataField="1" showAll="0"/>
    <pivotField showAll="0">
      <items count="3">
        <item x="1"/>
        <item x="0"/>
        <item t="default"/>
      </items>
    </pivotField>
    <pivotField showAll="0">
      <items count="5">
        <item x="0"/>
        <item x="1"/>
        <item x="2"/>
        <item x="3"/>
        <item t="default"/>
      </items>
    </pivotField>
    <pivotField axis="axisRow" numFmtId="15"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11">
        <item x="0"/>
        <item x="9"/>
        <item x="3"/>
        <item x="2"/>
        <item x="8"/>
        <item x="1"/>
        <item x="6"/>
        <item x="7"/>
        <item x="4"/>
        <item x="5"/>
        <item t="default"/>
      </items>
    </pivotField>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12"/>
    <field x="11"/>
    <field x="10"/>
    <field x="5"/>
  </rowFields>
  <rowItems count="8">
    <i>
      <x v="1"/>
    </i>
    <i>
      <x v="2"/>
    </i>
    <i>
      <x v="3"/>
    </i>
    <i>
      <x v="4"/>
    </i>
    <i>
      <x v="5"/>
    </i>
    <i>
      <x v="6"/>
    </i>
    <i>
      <x v="7"/>
    </i>
    <i t="grand">
      <x/>
    </i>
  </rowItems>
  <colItems count="1">
    <i/>
  </colItems>
  <dataFields count="1">
    <dataField name="Count of Emp ID" fld="2"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ABD23D-DF76-4799-A781-44EE2A51DB0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3:B15" firstHeaderRow="1" firstDataRow="1" firstDataCol="1"/>
  <pivotFields count="13">
    <pivotField showAll="0"/>
    <pivotField axis="axisRow" showAll="0" measureFilter="1">
      <items count="149">
        <item x="77"/>
        <item x="95"/>
        <item x="113"/>
        <item x="130"/>
        <item x="101"/>
        <item x="119"/>
        <item x="108"/>
        <item x="126"/>
        <item x="142"/>
        <item x="125"/>
        <item x="107"/>
        <item x="73"/>
        <item x="53"/>
        <item x="82"/>
        <item x="51"/>
        <item x="137"/>
        <item x="120"/>
        <item x="102"/>
        <item x="8"/>
        <item x="109"/>
        <item x="144"/>
        <item x="127"/>
        <item x="91"/>
        <item x="38"/>
        <item x="117"/>
        <item x="134"/>
        <item x="99"/>
        <item x="0"/>
        <item x="75"/>
        <item x="31"/>
        <item x="88"/>
        <item x="68"/>
        <item x="18"/>
        <item x="80"/>
        <item x="9"/>
        <item x="24"/>
        <item x="7"/>
        <item x="84"/>
        <item x="66"/>
        <item x="47"/>
        <item x="5"/>
        <item x="40"/>
        <item x="1"/>
        <item x="111"/>
        <item x="145"/>
        <item x="93"/>
        <item x="13"/>
        <item x="61"/>
        <item x="32"/>
        <item x="27"/>
        <item x="76"/>
        <item x="146"/>
        <item x="49"/>
        <item x="33"/>
        <item x="35"/>
        <item x="41"/>
        <item x="89"/>
        <item x="4"/>
        <item x="30"/>
        <item x="67"/>
        <item x="2"/>
        <item x="62"/>
        <item x="58"/>
        <item x="36"/>
        <item x="46"/>
        <item x="10"/>
        <item x="72"/>
        <item x="12"/>
        <item x="25"/>
        <item x="21"/>
        <item x="105"/>
        <item x="123"/>
        <item x="140"/>
        <item x="6"/>
        <item x="11"/>
        <item x="65"/>
        <item x="57"/>
        <item x="44"/>
        <item x="14"/>
        <item x="85"/>
        <item x="100"/>
        <item x="135"/>
        <item x="131"/>
        <item x="96"/>
        <item x="114"/>
        <item x="50"/>
        <item x="138"/>
        <item x="121"/>
        <item x="83"/>
        <item x="81"/>
        <item x="133"/>
        <item x="39"/>
        <item x="116"/>
        <item x="17"/>
        <item x="34"/>
        <item x="79"/>
        <item x="20"/>
        <item x="15"/>
        <item x="55"/>
        <item x="147"/>
        <item x="45"/>
        <item x="103"/>
        <item x="78"/>
        <item x="60"/>
        <item x="48"/>
        <item x="118"/>
        <item x="26"/>
        <item x="19"/>
        <item x="90"/>
        <item x="136"/>
        <item x="29"/>
        <item x="129"/>
        <item x="112"/>
        <item x="94"/>
        <item x="16"/>
        <item x="97"/>
        <item x="115"/>
        <item x="132"/>
        <item x="124"/>
        <item x="141"/>
        <item x="106"/>
        <item x="23"/>
        <item x="98"/>
        <item x="59"/>
        <item x="71"/>
        <item x="69"/>
        <item x="86"/>
        <item x="122"/>
        <item x="139"/>
        <item x="104"/>
        <item x="56"/>
        <item x="87"/>
        <item x="74"/>
        <item x="52"/>
        <item x="64"/>
        <item x="70"/>
        <item x="37"/>
        <item x="22"/>
        <item x="42"/>
        <item x="54"/>
        <item x="43"/>
        <item x="63"/>
        <item x="3"/>
        <item x="28"/>
        <item x="143"/>
        <item x="128"/>
        <item x="92"/>
        <item x="110"/>
        <item t="default"/>
      </items>
    </pivotField>
    <pivotField showAl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showAll="0">
      <items count="3">
        <item x="1"/>
        <item x="0"/>
        <item t="default"/>
      </items>
    </pivotField>
    <pivotField showAll="0">
      <items count="5">
        <item x="0"/>
        <item x="1"/>
        <item x="2"/>
        <item x="3"/>
        <item t="default"/>
      </items>
    </pivotField>
    <pivotField numFmtId="15"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11">
        <item x="0"/>
        <item x="9"/>
        <item x="3"/>
        <item x="2"/>
        <item x="8"/>
        <item x="1"/>
        <item x="6"/>
        <item x="7"/>
        <item x="4"/>
        <item x="5"/>
        <item t="default"/>
      </items>
    </pivotField>
    <pivotField numFmtId="164"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
  </rowFields>
  <rowItems count="12">
    <i>
      <x v="2"/>
    </i>
    <i>
      <x v="8"/>
    </i>
    <i>
      <x v="12"/>
    </i>
    <i>
      <x v="25"/>
    </i>
    <i>
      <x v="45"/>
    </i>
    <i>
      <x v="72"/>
    </i>
    <i>
      <x v="81"/>
    </i>
    <i>
      <x v="82"/>
    </i>
    <i>
      <x v="100"/>
    </i>
    <i>
      <x v="117"/>
    </i>
    <i>
      <x v="147"/>
    </i>
    <i t="grand">
      <x/>
    </i>
  </rowItems>
  <colItems count="1">
    <i/>
  </colItems>
  <dataFields count="1">
    <dataField name="Sum of Leave Balance" fld="9" baseField="0" baseItem="0"/>
  </dataFields>
  <chartFormats count="3">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3BCC24-5A87-44DD-AE33-E91DDD2BC76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A3:B6" firstHeaderRow="1" firstDataRow="1" firstDataCol="1"/>
  <pivotFields count="13">
    <pivotField dataField="1" showAll="0"/>
    <pivotField showAll="0">
      <items count="149">
        <item x="77"/>
        <item x="95"/>
        <item x="113"/>
        <item x="130"/>
        <item x="101"/>
        <item x="119"/>
        <item x="108"/>
        <item x="126"/>
        <item x="142"/>
        <item x="125"/>
        <item x="107"/>
        <item x="73"/>
        <item x="53"/>
        <item x="82"/>
        <item x="51"/>
        <item x="137"/>
        <item x="120"/>
        <item x="102"/>
        <item x="8"/>
        <item x="109"/>
        <item x="144"/>
        <item x="127"/>
        <item x="91"/>
        <item x="38"/>
        <item x="117"/>
        <item x="134"/>
        <item x="99"/>
        <item x="0"/>
        <item x="75"/>
        <item x="31"/>
        <item x="88"/>
        <item x="68"/>
        <item x="18"/>
        <item x="80"/>
        <item x="9"/>
        <item x="24"/>
        <item x="7"/>
        <item x="84"/>
        <item x="66"/>
        <item x="47"/>
        <item x="5"/>
        <item x="40"/>
        <item x="1"/>
        <item x="111"/>
        <item x="145"/>
        <item x="93"/>
        <item x="13"/>
        <item x="61"/>
        <item x="32"/>
        <item x="27"/>
        <item x="76"/>
        <item x="146"/>
        <item x="49"/>
        <item x="33"/>
        <item x="35"/>
        <item x="41"/>
        <item x="89"/>
        <item x="4"/>
        <item x="30"/>
        <item x="67"/>
        <item x="2"/>
        <item x="62"/>
        <item x="58"/>
        <item x="36"/>
        <item x="46"/>
        <item x="10"/>
        <item x="72"/>
        <item x="12"/>
        <item x="25"/>
        <item x="21"/>
        <item x="105"/>
        <item x="123"/>
        <item x="140"/>
        <item x="6"/>
        <item x="11"/>
        <item x="65"/>
        <item x="57"/>
        <item x="44"/>
        <item x="14"/>
        <item x="85"/>
        <item x="100"/>
        <item x="135"/>
        <item x="131"/>
        <item x="96"/>
        <item x="114"/>
        <item x="50"/>
        <item x="138"/>
        <item x="121"/>
        <item x="83"/>
        <item x="81"/>
        <item x="133"/>
        <item x="39"/>
        <item x="116"/>
        <item x="17"/>
        <item x="34"/>
        <item x="79"/>
        <item x="20"/>
        <item x="15"/>
        <item x="55"/>
        <item x="147"/>
        <item x="45"/>
        <item x="103"/>
        <item x="78"/>
        <item x="60"/>
        <item x="48"/>
        <item x="118"/>
        <item x="26"/>
        <item x="19"/>
        <item x="90"/>
        <item x="136"/>
        <item x="29"/>
        <item x="129"/>
        <item x="112"/>
        <item x="94"/>
        <item x="16"/>
        <item x="97"/>
        <item x="115"/>
        <item x="132"/>
        <item x="124"/>
        <item x="141"/>
        <item x="106"/>
        <item x="23"/>
        <item x="98"/>
        <item x="59"/>
        <item x="71"/>
        <item x="69"/>
        <item x="86"/>
        <item x="122"/>
        <item x="139"/>
        <item x="104"/>
        <item x="56"/>
        <item x="87"/>
        <item x="74"/>
        <item x="52"/>
        <item x="64"/>
        <item x="70"/>
        <item x="37"/>
        <item x="22"/>
        <item x="42"/>
        <item x="54"/>
        <item x="43"/>
        <item x="63"/>
        <item x="3"/>
        <item x="28"/>
        <item x="143"/>
        <item x="128"/>
        <item x="92"/>
        <item x="110"/>
        <item t="default"/>
      </items>
    </pivotField>
    <pivotField showAll="0"/>
    <pivotField axis="axisRow" showAll="0">
      <items count="3">
        <item x="1"/>
        <item x="0"/>
        <item t="default"/>
      </items>
    </pivotField>
    <pivotField showAll="0">
      <items count="5">
        <item x="0"/>
        <item x="1"/>
        <item x="2"/>
        <item x="3"/>
        <item t="default"/>
      </items>
    </pivotField>
    <pivotField numFmtId="15"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11">
        <item x="0"/>
        <item x="9"/>
        <item x="3"/>
        <item x="2"/>
        <item x="8"/>
        <item x="1"/>
        <item x="6"/>
        <item x="7"/>
        <item x="4"/>
        <item x="5"/>
        <item t="default"/>
      </items>
    </pivotField>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3">
    <i>
      <x/>
    </i>
    <i>
      <x v="1"/>
    </i>
    <i t="grand">
      <x/>
    </i>
  </rowItems>
  <colItems count="1">
    <i/>
  </colItems>
  <dataFields count="1">
    <dataField name="Sum of S.no" fld="0" baseField="0" baseItem="0" numFmtId="165"/>
  </dataFields>
  <formats count="1">
    <format dxfId="4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3" count="1" selected="0">
            <x v="0"/>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3" count="1" selected="0">
            <x v="0"/>
          </reference>
        </references>
      </pivotArea>
    </chartFormat>
    <chartFormat chart="17" format="5">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3" count="1" selected="0">
            <x v="0"/>
          </reference>
        </references>
      </pivotArea>
    </chartFormat>
    <chartFormat chart="1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35DDA-B448-4A7E-BAFC-02C8F833FEF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3:B14" firstHeaderRow="1" firstDataRow="1" firstDataCol="1"/>
  <pivotFields count="13">
    <pivotField showAl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t="default"/>
      </items>
    </pivotField>
    <pivotField showAll="0">
      <items count="149">
        <item x="77"/>
        <item x="95"/>
        <item x="113"/>
        <item x="130"/>
        <item x="101"/>
        <item x="119"/>
        <item x="108"/>
        <item x="126"/>
        <item x="142"/>
        <item x="125"/>
        <item x="107"/>
        <item x="73"/>
        <item x="53"/>
        <item x="82"/>
        <item x="51"/>
        <item x="137"/>
        <item x="120"/>
        <item x="102"/>
        <item x="8"/>
        <item x="109"/>
        <item x="144"/>
        <item x="127"/>
        <item x="91"/>
        <item x="38"/>
        <item x="117"/>
        <item x="134"/>
        <item x="99"/>
        <item x="0"/>
        <item x="75"/>
        <item x="31"/>
        <item x="88"/>
        <item x="68"/>
        <item x="18"/>
        <item x="80"/>
        <item x="9"/>
        <item x="24"/>
        <item x="7"/>
        <item x="84"/>
        <item x="66"/>
        <item x="47"/>
        <item x="5"/>
        <item x="40"/>
        <item x="1"/>
        <item x="111"/>
        <item x="145"/>
        <item x="93"/>
        <item x="13"/>
        <item x="61"/>
        <item x="32"/>
        <item x="27"/>
        <item x="76"/>
        <item x="146"/>
        <item x="49"/>
        <item x="33"/>
        <item x="35"/>
        <item x="41"/>
        <item x="89"/>
        <item x="4"/>
        <item x="30"/>
        <item x="67"/>
        <item x="2"/>
        <item x="62"/>
        <item x="58"/>
        <item x="36"/>
        <item x="46"/>
        <item x="10"/>
        <item x="72"/>
        <item x="12"/>
        <item x="25"/>
        <item x="21"/>
        <item x="105"/>
        <item x="123"/>
        <item x="140"/>
        <item x="6"/>
        <item x="11"/>
        <item x="65"/>
        <item x="57"/>
        <item x="44"/>
        <item x="14"/>
        <item x="85"/>
        <item x="100"/>
        <item x="135"/>
        <item x="131"/>
        <item x="96"/>
        <item x="114"/>
        <item x="50"/>
        <item x="138"/>
        <item x="121"/>
        <item x="83"/>
        <item x="81"/>
        <item x="133"/>
        <item x="39"/>
        <item x="116"/>
        <item x="17"/>
        <item x="34"/>
        <item x="79"/>
        <item x="20"/>
        <item x="15"/>
        <item x="55"/>
        <item x="147"/>
        <item x="45"/>
        <item x="103"/>
        <item x="78"/>
        <item x="60"/>
        <item x="48"/>
        <item x="118"/>
        <item x="26"/>
        <item x="19"/>
        <item x="90"/>
        <item x="136"/>
        <item x="29"/>
        <item x="129"/>
        <item x="112"/>
        <item x="94"/>
        <item x="16"/>
        <item x="97"/>
        <item x="115"/>
        <item x="132"/>
        <item x="124"/>
        <item x="141"/>
        <item x="106"/>
        <item x="23"/>
        <item x="98"/>
        <item x="59"/>
        <item x="71"/>
        <item x="69"/>
        <item x="86"/>
        <item x="122"/>
        <item x="139"/>
        <item x="104"/>
        <item x="56"/>
        <item x="87"/>
        <item x="74"/>
        <item x="52"/>
        <item x="64"/>
        <item x="70"/>
        <item x="37"/>
        <item x="22"/>
        <item x="42"/>
        <item x="54"/>
        <item x="43"/>
        <item x="63"/>
        <item x="3"/>
        <item x="28"/>
        <item x="143"/>
        <item x="128"/>
        <item x="92"/>
        <item x="110"/>
        <item t="default"/>
      </items>
    </pivotField>
    <pivotField showAll="0"/>
    <pivotField showAll="0">
      <items count="3">
        <item x="1"/>
        <item x="0"/>
        <item t="default"/>
      </items>
    </pivotField>
    <pivotField showAll="0">
      <items count="5">
        <item x="0"/>
        <item x="1"/>
        <item x="2"/>
        <item x="3"/>
        <item t="default"/>
      </items>
    </pivotField>
    <pivotField numFmtId="15"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axis="axisRow" showAll="0">
      <items count="11">
        <item x="0"/>
        <item x="9"/>
        <item x="3"/>
        <item x="2"/>
        <item x="8"/>
        <item x="1"/>
        <item x="6"/>
        <item x="7"/>
        <item x="4"/>
        <item x="5"/>
        <item t="default"/>
      </items>
    </pivotField>
    <pivotField dataField="1" numFmtId="164" showAll="0">
      <items count="136">
        <item x="10"/>
        <item x="52"/>
        <item x="42"/>
        <item x="29"/>
        <item x="2"/>
        <item x="37"/>
        <item x="24"/>
        <item x="20"/>
        <item x="15"/>
        <item x="6"/>
        <item x="109"/>
        <item x="67"/>
        <item x="117"/>
        <item x="47"/>
        <item x="102"/>
        <item x="32"/>
        <item x="95"/>
        <item x="28"/>
        <item x="75"/>
        <item x="94"/>
        <item x="58"/>
        <item x="81"/>
        <item x="36"/>
        <item x="68"/>
        <item x="11"/>
        <item x="129"/>
        <item x="110"/>
        <item x="76"/>
        <item x="19"/>
        <item x="1"/>
        <item x="88"/>
        <item x="51"/>
        <item x="43"/>
        <item x="62"/>
        <item x="16"/>
        <item x="122"/>
        <item x="7"/>
        <item x="74"/>
        <item x="116"/>
        <item x="33"/>
        <item x="57"/>
        <item x="25"/>
        <item x="128"/>
        <item x="48"/>
        <item x="93"/>
        <item x="41"/>
        <item x="108"/>
        <item x="92"/>
        <item x="107"/>
        <item x="49"/>
        <item x="23"/>
        <item x="134"/>
        <item x="34"/>
        <item x="115"/>
        <item x="66"/>
        <item x="101"/>
        <item x="127"/>
        <item x="73"/>
        <item x="40"/>
        <item x="17"/>
        <item x="56"/>
        <item x="5"/>
        <item x="98"/>
        <item x="85"/>
        <item x="79"/>
        <item x="0"/>
        <item x="63"/>
        <item x="44"/>
        <item x="12"/>
        <item x="131"/>
        <item x="53"/>
        <item x="82"/>
        <item x="14"/>
        <item x="60"/>
        <item x="69"/>
        <item x="77"/>
        <item x="31"/>
        <item x="46"/>
        <item x="96"/>
        <item x="8"/>
        <item x="111"/>
        <item x="118"/>
        <item x="83"/>
        <item x="103"/>
        <item x="123"/>
        <item x="26"/>
        <item x="3"/>
        <item x="125"/>
        <item x="38"/>
        <item x="99"/>
        <item x="22"/>
        <item x="113"/>
        <item x="64"/>
        <item x="86"/>
        <item x="54"/>
        <item x="59"/>
        <item x="132"/>
        <item x="120"/>
        <item x="45"/>
        <item x="90"/>
        <item x="30"/>
        <item x="13"/>
        <item x="71"/>
        <item x="105"/>
        <item x="91"/>
        <item x="65"/>
        <item x="80"/>
        <item x="21"/>
        <item x="133"/>
        <item x="55"/>
        <item x="100"/>
        <item x="4"/>
        <item x="106"/>
        <item x="121"/>
        <item x="126"/>
        <item x="72"/>
        <item x="87"/>
        <item x="114"/>
        <item x="39"/>
        <item x="35"/>
        <item x="84"/>
        <item x="97"/>
        <item x="78"/>
        <item x="27"/>
        <item x="130"/>
        <item x="124"/>
        <item x="18"/>
        <item x="89"/>
        <item x="9"/>
        <item x="119"/>
        <item x="61"/>
        <item x="112"/>
        <item x="70"/>
        <item x="50"/>
        <item x="104"/>
        <item t="default"/>
      </items>
    </pivotField>
    <pivotField showAll="0">
      <items count="103">
        <item x="30"/>
        <item x="0"/>
        <item x="29"/>
        <item x="23"/>
        <item x="80"/>
        <item x="97"/>
        <item x="54"/>
        <item x="78"/>
        <item x="83"/>
        <item x="11"/>
        <item x="93"/>
        <item x="25"/>
        <item x="21"/>
        <item x="91"/>
        <item x="79"/>
        <item x="88"/>
        <item x="86"/>
        <item x="3"/>
        <item x="14"/>
        <item x="22"/>
        <item x="34"/>
        <item x="19"/>
        <item x="38"/>
        <item x="4"/>
        <item x="42"/>
        <item x="59"/>
        <item x="24"/>
        <item x="67"/>
        <item x="94"/>
        <item x="45"/>
        <item x="8"/>
        <item x="9"/>
        <item x="27"/>
        <item x="51"/>
        <item x="62"/>
        <item x="17"/>
        <item x="49"/>
        <item x="82"/>
        <item x="6"/>
        <item x="74"/>
        <item x="31"/>
        <item x="15"/>
        <item x="43"/>
        <item x="1"/>
        <item x="57"/>
        <item x="50"/>
        <item x="100"/>
        <item x="55"/>
        <item x="16"/>
        <item x="46"/>
        <item x="26"/>
        <item x="18"/>
        <item x="52"/>
        <item x="37"/>
        <item x="2"/>
        <item x="40"/>
        <item x="69"/>
        <item x="58"/>
        <item x="28"/>
        <item x="10"/>
        <item x="72"/>
        <item x="81"/>
        <item x="33"/>
        <item x="13"/>
        <item x="77"/>
        <item x="84"/>
        <item x="7"/>
        <item x="47"/>
        <item x="92"/>
        <item x="70"/>
        <item x="44"/>
        <item x="75"/>
        <item x="48"/>
        <item x="101"/>
        <item x="98"/>
        <item x="87"/>
        <item x="5"/>
        <item x="32"/>
        <item x="41"/>
        <item x="71"/>
        <item x="66"/>
        <item x="73"/>
        <item x="65"/>
        <item x="61"/>
        <item x="96"/>
        <item x="56"/>
        <item x="99"/>
        <item x="68"/>
        <item x="63"/>
        <item x="76"/>
        <item x="12"/>
        <item x="39"/>
        <item x="35"/>
        <item x="64"/>
        <item x="95"/>
        <item x="60"/>
        <item x="36"/>
        <item x="20"/>
        <item x="85"/>
        <item x="53"/>
        <item x="89"/>
        <item x="9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11">
    <i>
      <x/>
    </i>
    <i>
      <x v="1"/>
    </i>
    <i>
      <x v="2"/>
    </i>
    <i>
      <x v="3"/>
    </i>
    <i>
      <x v="4"/>
    </i>
    <i>
      <x v="5"/>
    </i>
    <i>
      <x v="6"/>
    </i>
    <i>
      <x v="7"/>
    </i>
    <i>
      <x v="8"/>
    </i>
    <i>
      <x v="9"/>
    </i>
    <i t="grand">
      <x/>
    </i>
  </rowItems>
  <colItems count="1">
    <i/>
  </colItems>
  <dataFields count="1">
    <dataField name="Sum of Salary" fld="7" baseField="0" baseItem="0" numFmtId="167"/>
  </dataFields>
  <formats count="1">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73E1F2-9735-44DC-A674-9544ECA3655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13">
    <pivotField showAll="0"/>
    <pivotField showAll="0">
      <items count="149">
        <item x="77"/>
        <item x="95"/>
        <item x="113"/>
        <item x="130"/>
        <item x="101"/>
        <item x="119"/>
        <item x="108"/>
        <item x="126"/>
        <item x="142"/>
        <item x="125"/>
        <item x="107"/>
        <item x="73"/>
        <item x="53"/>
        <item x="82"/>
        <item x="51"/>
        <item x="137"/>
        <item x="120"/>
        <item x="102"/>
        <item x="8"/>
        <item x="109"/>
        <item x="144"/>
        <item x="127"/>
        <item x="91"/>
        <item x="38"/>
        <item x="117"/>
        <item x="134"/>
        <item x="99"/>
        <item x="0"/>
        <item x="75"/>
        <item x="31"/>
        <item x="88"/>
        <item x="68"/>
        <item x="18"/>
        <item x="80"/>
        <item x="9"/>
        <item x="24"/>
        <item x="7"/>
        <item x="84"/>
        <item x="66"/>
        <item x="47"/>
        <item x="5"/>
        <item x="40"/>
        <item x="1"/>
        <item x="111"/>
        <item x="145"/>
        <item x="93"/>
        <item x="13"/>
        <item x="61"/>
        <item x="32"/>
        <item x="27"/>
        <item x="76"/>
        <item x="146"/>
        <item x="49"/>
        <item x="33"/>
        <item x="35"/>
        <item x="41"/>
        <item x="89"/>
        <item x="4"/>
        <item x="30"/>
        <item x="67"/>
        <item x="2"/>
        <item x="62"/>
        <item x="58"/>
        <item x="36"/>
        <item x="46"/>
        <item x="10"/>
        <item x="72"/>
        <item x="12"/>
        <item x="25"/>
        <item x="21"/>
        <item x="105"/>
        <item x="123"/>
        <item x="140"/>
        <item x="6"/>
        <item x="11"/>
        <item x="65"/>
        <item x="57"/>
        <item x="44"/>
        <item x="14"/>
        <item x="85"/>
        <item x="100"/>
        <item x="135"/>
        <item x="131"/>
        <item x="96"/>
        <item x="114"/>
        <item x="50"/>
        <item x="138"/>
        <item x="121"/>
        <item x="83"/>
        <item x="81"/>
        <item x="133"/>
        <item x="39"/>
        <item x="116"/>
        <item x="17"/>
        <item x="34"/>
        <item x="79"/>
        <item x="20"/>
        <item x="15"/>
        <item x="55"/>
        <item x="147"/>
        <item x="45"/>
        <item x="103"/>
        <item x="78"/>
        <item x="60"/>
        <item x="48"/>
        <item x="118"/>
        <item x="26"/>
        <item x="19"/>
        <item x="90"/>
        <item x="136"/>
        <item x="29"/>
        <item x="129"/>
        <item x="112"/>
        <item x="94"/>
        <item x="16"/>
        <item x="97"/>
        <item x="115"/>
        <item x="132"/>
        <item x="124"/>
        <item x="141"/>
        <item x="106"/>
        <item x="23"/>
        <item x="98"/>
        <item x="59"/>
        <item x="71"/>
        <item x="69"/>
        <item x="86"/>
        <item x="122"/>
        <item x="139"/>
        <item x="104"/>
        <item x="56"/>
        <item x="87"/>
        <item x="74"/>
        <item x="52"/>
        <item x="64"/>
        <item x="70"/>
        <item x="37"/>
        <item x="22"/>
        <item x="42"/>
        <item x="54"/>
        <item x="43"/>
        <item x="63"/>
        <item x="3"/>
        <item x="28"/>
        <item x="143"/>
        <item x="128"/>
        <item x="92"/>
        <item x="110"/>
        <item t="default"/>
      </items>
    </pivotField>
    <pivotField showAll="0"/>
    <pivotField showAll="0">
      <items count="3">
        <item x="1"/>
        <item x="0"/>
        <item t="default"/>
      </items>
    </pivotField>
    <pivotField axis="axisRow" showAll="0">
      <items count="5">
        <item x="0"/>
        <item x="1"/>
        <item x="2"/>
        <item x="3"/>
        <item t="default"/>
      </items>
    </pivotField>
    <pivotField numFmtId="15"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11">
        <item x="0"/>
        <item x="9"/>
        <item x="3"/>
        <item x="2"/>
        <item x="8"/>
        <item x="1"/>
        <item x="6"/>
        <item x="7"/>
        <item x="4"/>
        <item x="5"/>
        <item t="default"/>
      </items>
    </pivotField>
    <pivotField dataField="1"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5">
    <i>
      <x/>
    </i>
    <i>
      <x v="1"/>
    </i>
    <i>
      <x v="2"/>
    </i>
    <i>
      <x v="3"/>
    </i>
    <i t="grand">
      <x/>
    </i>
  </rowItems>
  <colItems count="1">
    <i/>
  </colItems>
  <dataFields count="1">
    <dataField name="Sum of Salary" fld="7" baseField="0" baseItem="0" numFmtId="167"/>
  </dataFields>
  <formats count="1">
    <format dxfId="4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E5FC5-054E-44D0-834C-AC5ACB6D4AA8}"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3" firstHeaderRow="0" firstDataRow="1" firstDataCol="1"/>
  <pivotFields count="13">
    <pivotField dataField="1" showAll="0"/>
    <pivotField showAll="0"/>
    <pivotField showAll="0"/>
    <pivotField showAll="0"/>
    <pivotField showAll="0"/>
    <pivotField axis="axisRow" showAll="0">
      <items count="158">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x="156"/>
        <item t="default"/>
      </items>
    </pivotField>
    <pivotField showAll="0"/>
    <pivotField dataField="1"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x="0"/>
        <item sd="0" x="1"/>
        <item sd="0" x="2"/>
        <item sd="0" x="3"/>
        <item sd="0" x="4"/>
        <item sd="0" x="5"/>
        <item sd="0" x="6"/>
        <item sd="0" x="7"/>
        <item sd="0" x="8"/>
        <item t="default"/>
      </items>
    </pivotField>
  </pivotFields>
  <rowFields count="4">
    <field x="12"/>
    <field x="11"/>
    <field x="10"/>
    <field x="5"/>
  </rowFields>
  <rowItems count="10">
    <i>
      <x/>
    </i>
    <i r="1">
      <x/>
    </i>
    <i>
      <x v="1"/>
    </i>
    <i>
      <x v="2"/>
    </i>
    <i>
      <x v="3"/>
    </i>
    <i>
      <x v="4"/>
    </i>
    <i>
      <x v="5"/>
    </i>
    <i>
      <x v="6"/>
    </i>
    <i>
      <x v="7"/>
    </i>
    <i t="grand">
      <x/>
    </i>
  </rowItems>
  <colFields count="1">
    <field x="-2"/>
  </colFields>
  <colItems count="7">
    <i>
      <x/>
    </i>
    <i i="1">
      <x v="1"/>
    </i>
    <i i="2">
      <x v="2"/>
    </i>
    <i i="3">
      <x v="3"/>
    </i>
    <i i="4">
      <x v="4"/>
    </i>
    <i i="5">
      <x v="5"/>
    </i>
    <i i="6">
      <x v="6"/>
    </i>
  </colItems>
  <dataFields count="7">
    <dataField name="Employee count" fld="0" subtotal="count" baseField="12" baseItem="0"/>
    <dataField name="Total Salary" fld="7" baseField="12" baseItem="0"/>
    <dataField name=" Leave Balance" fld="9" baseField="12" baseItem="0"/>
    <dataField name="Average Age" fld="8" subtotal="average" baseField="12" baseItem="0"/>
    <dataField name="Average of Salary" fld="7" subtotal="average" baseField="12" baseItem="0" numFmtId="168"/>
    <dataField name="Max of Salary" fld="7" subtotal="max" baseField="0" baseItem="0" numFmtId="169"/>
    <dataField name="Min of Salary" fld="7" subtotal="min" baseField="12" baseItem="0" numFmtId="166"/>
  </dataFields>
  <formats count="44">
    <format dxfId="43">
      <pivotArea collapsedLevelsAreSubtotals="1" fieldPosition="0">
        <references count="2">
          <reference field="4294967294" count="1" selected="0">
            <x v="3"/>
          </reference>
          <reference field="12" count="1">
            <x v="1"/>
          </reference>
        </references>
      </pivotArea>
    </format>
    <format dxfId="42">
      <pivotArea collapsedLevelsAreSubtotals="1" fieldPosition="0">
        <references count="2">
          <reference field="4294967294" count="1" selected="0">
            <x v="3"/>
          </reference>
          <reference field="12" count="1">
            <x v="2"/>
          </reference>
        </references>
      </pivotArea>
    </format>
    <format dxfId="41">
      <pivotArea collapsedLevelsAreSubtotals="1" fieldPosition="0">
        <references count="2">
          <reference field="4294967294" count="1" selected="0">
            <x v="3"/>
          </reference>
          <reference field="12" count="1">
            <x v="3"/>
          </reference>
        </references>
      </pivotArea>
    </format>
    <format dxfId="40">
      <pivotArea collapsedLevelsAreSubtotals="1" fieldPosition="0">
        <references count="2">
          <reference field="4294967294" count="1" selected="0">
            <x v="3"/>
          </reference>
          <reference field="12" count="1">
            <x v="4"/>
          </reference>
        </references>
      </pivotArea>
    </format>
    <format dxfId="39">
      <pivotArea collapsedLevelsAreSubtotals="1" fieldPosition="0">
        <references count="2">
          <reference field="4294967294" count="1" selected="0">
            <x v="3"/>
          </reference>
          <reference field="12" count="1">
            <x v="5"/>
          </reference>
        </references>
      </pivotArea>
    </format>
    <format dxfId="38">
      <pivotArea collapsedLevelsAreSubtotals="1" fieldPosition="0">
        <references count="2">
          <reference field="4294967294" count="1" selected="0">
            <x v="3"/>
          </reference>
          <reference field="12" count="1">
            <x v="6"/>
          </reference>
        </references>
      </pivotArea>
    </format>
    <format dxfId="37">
      <pivotArea collapsedLevelsAreSubtotals="1" fieldPosition="0">
        <references count="2">
          <reference field="4294967294" count="1" selected="0">
            <x v="3"/>
          </reference>
          <reference field="12" count="1">
            <x v="7"/>
          </reference>
        </references>
      </pivotArea>
    </format>
    <format dxfId="36">
      <pivotArea field="12" grandRow="1" outline="0" collapsedLevelsAreSubtotals="1" axis="axisRow" fieldPosition="0">
        <references count="1">
          <reference field="4294967294" count="1" selected="0">
            <x v="3"/>
          </reference>
        </references>
      </pivotArea>
    </format>
    <format dxfId="35">
      <pivotArea collapsedLevelsAreSubtotals="1" fieldPosition="0">
        <references count="3">
          <reference field="4294967294" count="1" selected="0">
            <x v="1"/>
          </reference>
          <reference field="11" count="1">
            <x v="0"/>
          </reference>
          <reference field="12" count="1" selected="0">
            <x v="0"/>
          </reference>
        </references>
      </pivotArea>
    </format>
    <format dxfId="34">
      <pivotArea collapsedLevelsAreSubtotals="1" fieldPosition="0">
        <references count="2">
          <reference field="4294967294" count="1" selected="0">
            <x v="5"/>
          </reference>
          <reference field="12" count="1">
            <x v="1"/>
          </reference>
        </references>
      </pivotArea>
    </format>
    <format dxfId="33">
      <pivotArea collapsedLevelsAreSubtotals="1" fieldPosition="0">
        <references count="2">
          <reference field="4294967294" count="1" selected="0">
            <x v="5"/>
          </reference>
          <reference field="12" count="1">
            <x v="2"/>
          </reference>
        </references>
      </pivotArea>
    </format>
    <format dxfId="32">
      <pivotArea collapsedLevelsAreSubtotals="1" fieldPosition="0">
        <references count="2">
          <reference field="4294967294" count="1" selected="0">
            <x v="5"/>
          </reference>
          <reference field="12" count="1">
            <x v="3"/>
          </reference>
        </references>
      </pivotArea>
    </format>
    <format dxfId="31">
      <pivotArea collapsedLevelsAreSubtotals="1" fieldPosition="0">
        <references count="2">
          <reference field="4294967294" count="1" selected="0">
            <x v="5"/>
          </reference>
          <reference field="12" count="1">
            <x v="4"/>
          </reference>
        </references>
      </pivotArea>
    </format>
    <format dxfId="30">
      <pivotArea collapsedLevelsAreSubtotals="1" fieldPosition="0">
        <references count="2">
          <reference field="4294967294" count="1" selected="0">
            <x v="5"/>
          </reference>
          <reference field="12" count="1">
            <x v="5"/>
          </reference>
        </references>
      </pivotArea>
    </format>
    <format dxfId="29">
      <pivotArea collapsedLevelsAreSubtotals="1" fieldPosition="0">
        <references count="2">
          <reference field="4294967294" count="1" selected="0">
            <x v="5"/>
          </reference>
          <reference field="12" count="1">
            <x v="6"/>
          </reference>
        </references>
      </pivotArea>
    </format>
    <format dxfId="28">
      <pivotArea collapsedLevelsAreSubtotals="1" fieldPosition="0">
        <references count="2">
          <reference field="4294967294" count="1" selected="0">
            <x v="5"/>
          </reference>
          <reference field="12" count="1">
            <x v="7"/>
          </reference>
        </references>
      </pivotArea>
    </format>
    <format dxfId="27">
      <pivotArea field="12" grandRow="1" outline="0" collapsedLevelsAreSubtotals="1" axis="axisRow" fieldPosition="0">
        <references count="1">
          <reference field="4294967294" count="1" selected="0">
            <x v="5"/>
          </reference>
        </references>
      </pivotArea>
    </format>
    <format dxfId="26">
      <pivotArea collapsedLevelsAreSubtotals="1" fieldPosition="0">
        <references count="2">
          <reference field="4294967294" count="1" selected="0">
            <x v="4"/>
          </reference>
          <reference field="12" count="1">
            <x v="1"/>
          </reference>
        </references>
      </pivotArea>
    </format>
    <format dxfId="25">
      <pivotArea collapsedLevelsAreSubtotals="1" fieldPosition="0">
        <references count="2">
          <reference field="4294967294" count="1" selected="0">
            <x v="4"/>
          </reference>
          <reference field="12" count="1">
            <x v="2"/>
          </reference>
        </references>
      </pivotArea>
    </format>
    <format dxfId="24">
      <pivotArea collapsedLevelsAreSubtotals="1" fieldPosition="0">
        <references count="2">
          <reference field="4294967294" count="1" selected="0">
            <x v="4"/>
          </reference>
          <reference field="12" count="1">
            <x v="3"/>
          </reference>
        </references>
      </pivotArea>
    </format>
    <format dxfId="23">
      <pivotArea collapsedLevelsAreSubtotals="1" fieldPosition="0">
        <references count="2">
          <reference field="4294967294" count="1" selected="0">
            <x v="4"/>
          </reference>
          <reference field="12" count="1">
            <x v="4"/>
          </reference>
        </references>
      </pivotArea>
    </format>
    <format dxfId="22">
      <pivotArea collapsedLevelsAreSubtotals="1" fieldPosition="0">
        <references count="2">
          <reference field="4294967294" count="1" selected="0">
            <x v="4"/>
          </reference>
          <reference field="12" count="1">
            <x v="5"/>
          </reference>
        </references>
      </pivotArea>
    </format>
    <format dxfId="21">
      <pivotArea collapsedLevelsAreSubtotals="1" fieldPosition="0">
        <references count="2">
          <reference field="4294967294" count="1" selected="0">
            <x v="4"/>
          </reference>
          <reference field="12" count="1">
            <x v="6"/>
          </reference>
        </references>
      </pivotArea>
    </format>
    <format dxfId="20">
      <pivotArea collapsedLevelsAreSubtotals="1" fieldPosition="0">
        <references count="2">
          <reference field="4294967294" count="1" selected="0">
            <x v="4"/>
          </reference>
          <reference field="12" count="1">
            <x v="7"/>
          </reference>
        </references>
      </pivotArea>
    </format>
    <format dxfId="19">
      <pivotArea field="12" grandRow="1" outline="0" collapsedLevelsAreSubtotals="1" axis="axisRow" fieldPosition="0">
        <references count="1">
          <reference field="4294967294" count="1" selected="0">
            <x v="4"/>
          </reference>
        </references>
      </pivotArea>
    </format>
    <format dxfId="18">
      <pivotArea outline="0" fieldPosition="0">
        <references count="1">
          <reference field="4294967294" count="1">
            <x v="6"/>
          </reference>
        </references>
      </pivotArea>
    </format>
    <format dxfId="17">
      <pivotArea collapsedLevelsAreSubtotals="1" fieldPosition="0">
        <references count="2">
          <reference field="4294967294" count="1" selected="0">
            <x v="1"/>
          </reference>
          <reference field="12" count="1">
            <x v="1"/>
          </reference>
        </references>
      </pivotArea>
    </format>
    <format dxfId="16">
      <pivotArea collapsedLevelsAreSubtotals="1" fieldPosition="0">
        <references count="2">
          <reference field="4294967294" count="1" selected="0">
            <x v="1"/>
          </reference>
          <reference field="12" count="1">
            <x v="2"/>
          </reference>
        </references>
      </pivotArea>
    </format>
    <format dxfId="15">
      <pivotArea collapsedLevelsAreSubtotals="1" fieldPosition="0">
        <references count="2">
          <reference field="4294967294" count="1" selected="0">
            <x v="1"/>
          </reference>
          <reference field="12" count="1">
            <x v="3"/>
          </reference>
        </references>
      </pivotArea>
    </format>
    <format dxfId="14">
      <pivotArea collapsedLevelsAreSubtotals="1" fieldPosition="0">
        <references count="2">
          <reference field="4294967294" count="1" selected="0">
            <x v="1"/>
          </reference>
          <reference field="12" count="1">
            <x v="4"/>
          </reference>
        </references>
      </pivotArea>
    </format>
    <format dxfId="13">
      <pivotArea collapsedLevelsAreSubtotals="1" fieldPosition="0">
        <references count="2">
          <reference field="4294967294" count="1" selected="0">
            <x v="1"/>
          </reference>
          <reference field="12" count="1">
            <x v="5"/>
          </reference>
        </references>
      </pivotArea>
    </format>
    <format dxfId="12">
      <pivotArea collapsedLevelsAreSubtotals="1" fieldPosition="0">
        <references count="2">
          <reference field="4294967294" count="1" selected="0">
            <x v="1"/>
          </reference>
          <reference field="12" count="1">
            <x v="6"/>
          </reference>
        </references>
      </pivotArea>
    </format>
    <format dxfId="11">
      <pivotArea collapsedLevelsAreSubtotals="1" fieldPosition="0">
        <references count="2">
          <reference field="4294967294" count="1" selected="0">
            <x v="1"/>
          </reference>
          <reference field="12" count="1">
            <x v="7"/>
          </reference>
        </references>
      </pivotArea>
    </format>
    <format dxfId="10">
      <pivotArea field="12" grandRow="1" outline="0" collapsedLevelsAreSubtotals="1" axis="axisRow" fieldPosition="0">
        <references count="1">
          <reference field="4294967294" count="1" selected="0">
            <x v="1"/>
          </reference>
        </references>
      </pivotArea>
    </format>
    <format dxfId="9">
      <pivotArea outline="0" fieldPosition="0">
        <references count="1">
          <reference field="4294967294" count="1">
            <x v="4"/>
          </reference>
        </references>
      </pivotArea>
    </format>
    <format dxfId="8">
      <pivotArea outline="0" fieldPosition="0">
        <references count="1">
          <reference field="4294967294" count="1">
            <x v="5"/>
          </reference>
        </references>
      </pivotArea>
    </format>
    <format dxfId="7">
      <pivotArea collapsedLevelsAreSubtotals="1" fieldPosition="0">
        <references count="2">
          <reference field="4294967294" count="1" selected="0">
            <x v="6"/>
          </reference>
          <reference field="12" count="1">
            <x v="1"/>
          </reference>
        </references>
      </pivotArea>
    </format>
    <format dxfId="6">
      <pivotArea collapsedLevelsAreSubtotals="1" fieldPosition="0">
        <references count="2">
          <reference field="4294967294" count="1" selected="0">
            <x v="6"/>
          </reference>
          <reference field="12" count="1">
            <x v="2"/>
          </reference>
        </references>
      </pivotArea>
    </format>
    <format dxfId="5">
      <pivotArea collapsedLevelsAreSubtotals="1" fieldPosition="0">
        <references count="2">
          <reference field="4294967294" count="1" selected="0">
            <x v="6"/>
          </reference>
          <reference field="12" count="1">
            <x v="3"/>
          </reference>
        </references>
      </pivotArea>
    </format>
    <format dxfId="4">
      <pivotArea collapsedLevelsAreSubtotals="1" fieldPosition="0">
        <references count="2">
          <reference field="4294967294" count="1" selected="0">
            <x v="6"/>
          </reference>
          <reference field="12" count="1">
            <x v="4"/>
          </reference>
        </references>
      </pivotArea>
    </format>
    <format dxfId="3">
      <pivotArea collapsedLevelsAreSubtotals="1" fieldPosition="0">
        <references count="2">
          <reference field="4294967294" count="1" selected="0">
            <x v="6"/>
          </reference>
          <reference field="12" count="1">
            <x v="5"/>
          </reference>
        </references>
      </pivotArea>
    </format>
    <format dxfId="2">
      <pivotArea collapsedLevelsAreSubtotals="1" fieldPosition="0">
        <references count="2">
          <reference field="4294967294" count="1" selected="0">
            <x v="6"/>
          </reference>
          <reference field="12" count="1">
            <x v="6"/>
          </reference>
        </references>
      </pivotArea>
    </format>
    <format dxfId="1">
      <pivotArea collapsedLevelsAreSubtotals="1" fieldPosition="0">
        <references count="2">
          <reference field="4294967294" count="1" selected="0">
            <x v="6"/>
          </reference>
          <reference field="12" count="1">
            <x v="7"/>
          </reference>
        </references>
      </pivotArea>
    </format>
    <format dxfId="0">
      <pivotArea field="12" grandRow="1" outline="0" collapsedLevelsAreSubtotals="1" axis="axisRow" fieldPosition="0">
        <references count="1">
          <reference field="429496729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60554557-E819-4110-AD62-3102E9BC377D}" sourceName="Name">
  <pivotTables>
    <pivotTable tabId="9" name="PivotTable15"/>
    <pivotTable tabId="7" name="PivotTable12"/>
    <pivotTable tabId="2" name="PivotTable1"/>
    <pivotTable tabId="4" name="PivotTable3"/>
    <pivotTable tabId="3" name="PivotTable2"/>
  </pivotTables>
  <data>
    <tabular pivotCacheId="194193820">
      <items count="148">
        <i x="77" s="1"/>
        <i x="95" s="1"/>
        <i x="113" s="1"/>
        <i x="130" s="1"/>
        <i x="101" s="1"/>
        <i x="119" s="1"/>
        <i x="108" s="1"/>
        <i x="126" s="1"/>
        <i x="142" s="1"/>
        <i x="125" s="1"/>
        <i x="107" s="1"/>
        <i x="73" s="1"/>
        <i x="53" s="1"/>
        <i x="82" s="1"/>
        <i x="51" s="1"/>
        <i x="137" s="1"/>
        <i x="120" s="1"/>
        <i x="102" s="1"/>
        <i x="8" s="1"/>
        <i x="109" s="1"/>
        <i x="144" s="1"/>
        <i x="127" s="1"/>
        <i x="91" s="1"/>
        <i x="38" s="1"/>
        <i x="117" s="1"/>
        <i x="134" s="1"/>
        <i x="99" s="1"/>
        <i x="0" s="1"/>
        <i x="75" s="1"/>
        <i x="31" s="1"/>
        <i x="88" s="1"/>
        <i x="68" s="1"/>
        <i x="18" s="1"/>
        <i x="80" s="1"/>
        <i x="9" s="1"/>
        <i x="24" s="1"/>
        <i x="7" s="1"/>
        <i x="84" s="1"/>
        <i x="66" s="1"/>
        <i x="47" s="1"/>
        <i x="5" s="1"/>
        <i x="40" s="1"/>
        <i x="1" s="1"/>
        <i x="111" s="1"/>
        <i x="145" s="1"/>
        <i x="93" s="1"/>
        <i x="13" s="1"/>
        <i x="61" s="1"/>
        <i x="32" s="1"/>
        <i x="27" s="1"/>
        <i x="76" s="1"/>
        <i x="146" s="1"/>
        <i x="49" s="1"/>
        <i x="33" s="1"/>
        <i x="35" s="1"/>
        <i x="41" s="1"/>
        <i x="89" s="1"/>
        <i x="4" s="1"/>
        <i x="30" s="1"/>
        <i x="67" s="1"/>
        <i x="2" s="1"/>
        <i x="62" s="1"/>
        <i x="58" s="1"/>
        <i x="36" s="1"/>
        <i x="46" s="1"/>
        <i x="10" s="1"/>
        <i x="72" s="1"/>
        <i x="12" s="1"/>
        <i x="25" s="1"/>
        <i x="21" s="1"/>
        <i x="105" s="1"/>
        <i x="123" s="1"/>
        <i x="140" s="1"/>
        <i x="6" s="1"/>
        <i x="11" s="1"/>
        <i x="65" s="1"/>
        <i x="57" s="1"/>
        <i x="44" s="1"/>
        <i x="14" s="1"/>
        <i x="85" s="1"/>
        <i x="100" s="1"/>
        <i x="135" s="1"/>
        <i x="131" s="1"/>
        <i x="96" s="1"/>
        <i x="114" s="1"/>
        <i x="50" s="1"/>
        <i x="138" s="1"/>
        <i x="121" s="1"/>
        <i x="83" s="1"/>
        <i x="81" s="1"/>
        <i x="133" s="1"/>
        <i x="39" s="1"/>
        <i x="116" s="1"/>
        <i x="17" s="1"/>
        <i x="34" s="1"/>
        <i x="79" s="1"/>
        <i x="20" s="1"/>
        <i x="15" s="1"/>
        <i x="55" s="1"/>
        <i x="147" s="1"/>
        <i x="45" s="1"/>
        <i x="103" s="1"/>
        <i x="78" s="1"/>
        <i x="60" s="1"/>
        <i x="48" s="1"/>
        <i x="118" s="1"/>
        <i x="26" s="1"/>
        <i x="19" s="1"/>
        <i x="90" s="1"/>
        <i x="136" s="1"/>
        <i x="29" s="1"/>
        <i x="129" s="1"/>
        <i x="112" s="1"/>
        <i x="94" s="1"/>
        <i x="16" s="1"/>
        <i x="97" s="1"/>
        <i x="115" s="1"/>
        <i x="132" s="1"/>
        <i x="124" s="1"/>
        <i x="141" s="1"/>
        <i x="106" s="1"/>
        <i x="23" s="1"/>
        <i x="98" s="1"/>
        <i x="59" s="1"/>
        <i x="71" s="1"/>
        <i x="69" s="1"/>
        <i x="86" s="1"/>
        <i x="122" s="1"/>
        <i x="139" s="1"/>
        <i x="104" s="1"/>
        <i x="56" s="1"/>
        <i x="87" s="1"/>
        <i x="74" s="1"/>
        <i x="52" s="1"/>
        <i x="64" s="1"/>
        <i x="70" s="1"/>
        <i x="37" s="1"/>
        <i x="22" s="1"/>
        <i x="42" s="1"/>
        <i x="54" s="1"/>
        <i x="43" s="1"/>
        <i x="63" s="1"/>
        <i x="3" s="1"/>
        <i x="28" s="1"/>
        <i x="143" s="1"/>
        <i x="128" s="1"/>
        <i x="92" s="1"/>
        <i x="1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691340A-AF1F-4449-AC0B-C5661D5D53C4}" sourceName="Gender">
  <pivotTables>
    <pivotTable tabId="9" name="PivotTable15"/>
    <pivotTable tabId="7" name="PivotTable12"/>
    <pivotTable tabId="2" name="PivotTable1"/>
    <pivotTable tabId="4" name="PivotTable3"/>
    <pivotTable tabId="3" name="PivotTable2"/>
  </pivotTables>
  <data>
    <tabular pivotCacheId="1941938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Qualification" xr10:uid="{EC277DFD-3B04-4CF6-9C9E-45683DDFE2F0}" sourceName="Education Qualification">
  <pivotTables>
    <pivotTable tabId="9" name="PivotTable15"/>
    <pivotTable tabId="7" name="PivotTable12"/>
    <pivotTable tabId="2" name="PivotTable1"/>
    <pivotTable tabId="4" name="PivotTable3"/>
    <pivotTable tabId="3" name="PivotTable2"/>
  </pivotTables>
  <data>
    <tabular pivotCacheId="194193820">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A1798032-155D-4F3F-AE66-089E5E115140}" sourceName="Job Title">
  <pivotTables>
    <pivotTable tabId="9" name="PivotTable15"/>
    <pivotTable tabId="7" name="PivotTable12"/>
    <pivotTable tabId="2" name="PivotTable1"/>
    <pivotTable tabId="4" name="PivotTable3"/>
    <pivotTable tabId="3" name="PivotTable2"/>
  </pivotTables>
  <data>
    <tabular pivotCacheId="194193820">
      <items count="10">
        <i x="0" s="1"/>
        <i x="9" s="1"/>
        <i x="3" s="1"/>
        <i x="2" s="1"/>
        <i x="8" s="1"/>
        <i x="1" s="1"/>
        <i x="6" s="1"/>
        <i x="7"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F03FEEC-B6D6-41B1-8346-08BD1BE203BE}" cache="Slicer_Name" caption="Name" style="SlicerStyleDark1" rowHeight="304800"/>
  <slicer name="Gender" xr10:uid="{CCA93C19-45C8-4B46-9A32-D9BF833470FD}" cache="Slicer_Gender" caption="Gender" style="SlicerStyleDark1" rowHeight="304800"/>
  <slicer name="Education Qualification" xr10:uid="{C7B397DF-1330-45EF-BBF7-C0D79869699C}" cache="Slicer_Education_Qualification" caption="Education Qualification" style="SlicerStyleDark1" rowHeight="304800"/>
  <slicer name="Job Title" xr10:uid="{49CEF49C-8EE2-4D6B-825B-B9593C013172}" cache="Slicer_Job_Title" caption="Job Title" style="SlicerStyleDark1"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82FB0D38-3718-45AD-A67F-1260F5DE356E}" cache="Slicer_Name" caption="Name" columnCount="3" style="SlicerStyleDark3" rowHeight="304800"/>
  <slicer name="Gender 1" xr10:uid="{4D2A2705-A846-469B-B57D-B0CAC0552812}" cache="Slicer_Gender" caption="Gender" style="SlicerStyleDark3" rowHeight="304800"/>
  <slicer name="Education Qualification 2" xr10:uid="{0CB3C79F-32E2-473B-9AC4-16EFE5F72A2E}" cache="Slicer_Education_Qualification" caption="Education Qualification" columnCount="2" style="SlicerStyleDark3" rowHeight="304800"/>
  <slicer name="Job Title 1" xr10:uid="{B214A2FB-8E02-422A-B772-C012152C7264}" cache="Slicer_Job_Title" caption="Job Title" columnCount="2" style="SlicerStyleLight3"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3342C-6C10-4447-B2C4-E3A3088B77E1}" name="Table1" displayName="Table1" ref="A1:J162" totalsRowShown="0" headerRowDxfId="66" headerRowBorderDxfId="65" tableBorderDxfId="64" totalsRowBorderDxfId="63">
  <autoFilter ref="A1:J162" xr:uid="{B2A3342C-6C10-4447-B2C4-E3A3088B77E1}"/>
  <tableColumns count="10">
    <tableColumn id="1" xr3:uid="{64B3E3A5-B643-4D91-A3D0-05EC9914EE03}" name="S.no" dataDxfId="62"/>
    <tableColumn id="2" xr3:uid="{65A22E69-987F-4592-972D-366A980D2B58}" name="Name" dataDxfId="61"/>
    <tableColumn id="3" xr3:uid="{33EBCB4F-62F1-487E-B44C-9B1D6909E857}" name="Emp ID" dataDxfId="60"/>
    <tableColumn id="4" xr3:uid="{89C911B8-7C87-4AA1-B307-0915CDD0D64A}" name="Gender" dataDxfId="59"/>
    <tableColumn id="5" xr3:uid="{87DAAF50-C7C8-42B0-89E9-D887A1281F27}" name="Education Qualification" dataDxfId="58"/>
    <tableColumn id="6" xr3:uid="{6B7F5C9C-448B-4EBC-B422-C05BC7A4D96E}" name="Date of Join" dataDxfId="57"/>
    <tableColumn id="7" xr3:uid="{56560BF0-8E37-47F7-9E75-B39F98490938}" name="Job Title" dataDxfId="56"/>
    <tableColumn id="8" xr3:uid="{224117FB-6533-4DAF-A7DD-0B3362E3106A}" name="Salary" dataDxfId="55"/>
    <tableColumn id="9" xr3:uid="{3689288C-C018-4431-8BDF-4461CF57DC60}" name="Age" dataDxfId="54"/>
    <tableColumn id="10" xr3:uid="{084D1F49-3986-4FF9-A49D-E205586B274D}" name="Leave Balance"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E7962-61E3-42CB-A94B-887A3BF78AF4}" name="Table14" displayName="Table14" ref="A1:B162" totalsRowShown="0" headerRowDxfId="52" headerRowBorderDxfId="51" tableBorderDxfId="50" totalsRowBorderDxfId="49">
  <autoFilter ref="A1:B162" xr:uid="{C03E7962-61E3-42CB-A94B-887A3BF78AF4}"/>
  <tableColumns count="2">
    <tableColumn id="7" xr3:uid="{73099A48-BCE4-44D6-9ED5-20A88394AE20}" name="Job Title" dataDxfId="48"/>
    <tableColumn id="8" xr3:uid="{0729CFA3-18E5-4A81-B156-7BF5B43604F6}" name="Salary" dataDxfId="4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 xr10:uid="{F3242401-E3C8-4452-9689-6B35F931089B}" sourceName="Date of Join">
  <pivotTables>
    <pivotTable tabId="9" name="PivotTable15"/>
    <pivotTable tabId="7" name="PivotTable12"/>
    <pivotTable tabId="2" name="PivotTable1"/>
    <pivotTable tabId="4" name="PivotTable3"/>
    <pivotTable tabId="3" name="PivotTable2"/>
  </pivotTables>
  <state minimalRefreshVersion="6" lastRefreshVersion="6" pivotCacheId="194193820" filterType="unknown">
    <bounds startDate="2017-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 xr10:uid="{981519E0-2812-4094-B1A1-EC61E03BE2C8}" cache="NativeTimeline_Date_of_Join" caption="Date of Join" level="2" selectionLevel="2" scrollPosition="2023-06-0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 1" xr10:uid="{6CC0F1B2-495E-4219-B8FE-3DD2C3E5A265}" cache="NativeTimeline_Date_of_Join" caption="Date of Join" level="2" selectionLevel="2" scrollPosition="2019-09-2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8C99-611B-4334-B1D5-6B7987343580}">
  <sheetPr>
    <tabColor rgb="FF7030A0"/>
  </sheetPr>
  <dimension ref="A1:M162"/>
  <sheetViews>
    <sheetView topLeftCell="E1" workbookViewId="0">
      <selection activeCell="J2" sqref="J2"/>
    </sheetView>
  </sheetViews>
  <sheetFormatPr defaultRowHeight="18.5" x14ac:dyDescent="0.45"/>
  <cols>
    <col min="2" max="2" width="18.5703125" bestFit="1" customWidth="1"/>
    <col min="3" max="3" width="8.5" bestFit="1" customWidth="1"/>
    <col min="4" max="4" width="8.7109375" bestFit="1" customWidth="1"/>
    <col min="5" max="5" width="22.28515625" bestFit="1" customWidth="1"/>
    <col min="6" max="6" width="12.42578125" bestFit="1" customWidth="1"/>
    <col min="7" max="7" width="17.85546875" bestFit="1" customWidth="1"/>
    <col min="8" max="8" width="10.5" bestFit="1" customWidth="1"/>
    <col min="9" max="9" width="5.7109375" bestFit="1" customWidth="1"/>
    <col min="10" max="10" width="14.35546875" bestFit="1" customWidth="1"/>
    <col min="11" max="11" width="31.5" customWidth="1"/>
    <col min="12" max="12" width="14.35546875" customWidth="1"/>
    <col min="13" max="13" width="12.35546875" customWidth="1"/>
  </cols>
  <sheetData>
    <row r="1" spans="1:13" s="1" customFormat="1" x14ac:dyDescent="0.45">
      <c r="A1" s="2" t="s">
        <v>334</v>
      </c>
      <c r="B1" s="3" t="s">
        <v>0</v>
      </c>
      <c r="C1" s="3" t="s">
        <v>1</v>
      </c>
      <c r="D1" s="3" t="s">
        <v>2</v>
      </c>
      <c r="E1" s="3" t="s">
        <v>3</v>
      </c>
      <c r="F1" s="3" t="s">
        <v>4</v>
      </c>
      <c r="G1" s="3" t="s">
        <v>5</v>
      </c>
      <c r="H1" s="3" t="s">
        <v>6</v>
      </c>
      <c r="I1" s="3" t="s">
        <v>7</v>
      </c>
      <c r="J1" s="4" t="s">
        <v>8</v>
      </c>
      <c r="K1" s="4" t="s">
        <v>363</v>
      </c>
      <c r="L1" s="33"/>
    </row>
    <row r="2" spans="1:13" x14ac:dyDescent="0.45">
      <c r="A2" s="5">
        <v>1</v>
      </c>
      <c r="B2" s="6" t="s">
        <v>9</v>
      </c>
      <c r="C2" s="6" t="s">
        <v>10</v>
      </c>
      <c r="D2" s="6" t="s">
        <v>11</v>
      </c>
      <c r="E2" s="6" t="s">
        <v>12</v>
      </c>
      <c r="F2" s="7">
        <v>43994</v>
      </c>
      <c r="G2" s="6" t="s">
        <v>13</v>
      </c>
      <c r="H2" s="27">
        <v>51300</v>
      </c>
      <c r="I2" s="6">
        <v>26</v>
      </c>
      <c r="J2" s="8">
        <v>13</v>
      </c>
      <c r="K2" s="8"/>
    </row>
    <row r="3" spans="1:13" x14ac:dyDescent="0.45">
      <c r="A3" s="5">
        <v>2</v>
      </c>
      <c r="B3" s="6" t="s">
        <v>14</v>
      </c>
      <c r="C3" s="6" t="s">
        <v>15</v>
      </c>
      <c r="D3" s="6" t="s">
        <v>16</v>
      </c>
      <c r="E3" s="6" t="s">
        <v>17</v>
      </c>
      <c r="F3" s="7">
        <v>44245</v>
      </c>
      <c r="G3" s="6" t="s">
        <v>18</v>
      </c>
      <c r="H3" s="27">
        <v>38300</v>
      </c>
      <c r="I3" s="6">
        <v>32.700000000000003</v>
      </c>
      <c r="J3" s="8">
        <v>12</v>
      </c>
      <c r="K3" s="8" t="s">
        <v>364</v>
      </c>
    </row>
    <row r="4" spans="1:13" x14ac:dyDescent="0.45">
      <c r="A4" s="5">
        <v>3</v>
      </c>
      <c r="B4" s="6" t="s">
        <v>19</v>
      </c>
      <c r="C4" s="6" t="s">
        <v>20</v>
      </c>
      <c r="D4" s="6" t="s">
        <v>11</v>
      </c>
      <c r="E4" s="6" t="s">
        <v>21</v>
      </c>
      <c r="F4" s="7">
        <v>44809</v>
      </c>
      <c r="G4" s="6" t="s">
        <v>22</v>
      </c>
      <c r="H4" s="27">
        <v>31400</v>
      </c>
      <c r="I4" s="6">
        <v>34.299999999999997</v>
      </c>
      <c r="J4" s="8">
        <v>16</v>
      </c>
      <c r="K4" s="8">
        <f t="shared" ref="K4:K66" ca="1" si="0">IF(K4&lt;5,"Low",IF(K4&lt;=10,"Medium","High"))</f>
        <v>0</v>
      </c>
    </row>
    <row r="5" spans="1:13" x14ac:dyDescent="0.45">
      <c r="A5" s="5">
        <v>4</v>
      </c>
      <c r="B5" s="6" t="s">
        <v>23</v>
      </c>
      <c r="C5" s="6" t="s">
        <v>24</v>
      </c>
      <c r="D5" s="6" t="s">
        <v>16</v>
      </c>
      <c r="E5" s="6" t="s">
        <v>12</v>
      </c>
      <c r="F5" s="7">
        <v>43789</v>
      </c>
      <c r="G5" s="6" t="s">
        <v>25</v>
      </c>
      <c r="H5" s="27">
        <v>60700</v>
      </c>
      <c r="I5" s="6">
        <v>29.6</v>
      </c>
      <c r="J5" s="8">
        <v>21</v>
      </c>
      <c r="K5" s="8">
        <f t="shared" ca="1" si="0"/>
        <v>0</v>
      </c>
    </row>
    <row r="6" spans="1:13" x14ac:dyDescent="0.45">
      <c r="A6" s="5">
        <v>5</v>
      </c>
      <c r="B6" s="6" t="s">
        <v>26</v>
      </c>
      <c r="C6" s="6" t="s">
        <v>27</v>
      </c>
      <c r="D6" s="6" t="s">
        <v>11</v>
      </c>
      <c r="E6" s="6" t="s">
        <v>29</v>
      </c>
      <c r="F6" s="7">
        <v>43198</v>
      </c>
      <c r="G6" s="6" t="s">
        <v>30</v>
      </c>
      <c r="H6" s="27">
        <v>77300</v>
      </c>
      <c r="I6" s="6">
        <v>30.3</v>
      </c>
      <c r="J6" s="8">
        <v>23</v>
      </c>
      <c r="K6" s="8">
        <f t="shared" ca="1" si="0"/>
        <v>0</v>
      </c>
      <c r="L6" s="8"/>
      <c r="M6" s="18" t="s">
        <v>352</v>
      </c>
    </row>
    <row r="7" spans="1:13" x14ac:dyDescent="0.45">
      <c r="A7" s="5">
        <v>6</v>
      </c>
      <c r="B7" s="6" t="s">
        <v>31</v>
      </c>
      <c r="C7" s="6" t="s">
        <v>32</v>
      </c>
      <c r="D7" s="6" t="s">
        <v>16</v>
      </c>
      <c r="E7" s="6" t="s">
        <v>12</v>
      </c>
      <c r="F7" s="7">
        <v>44999</v>
      </c>
      <c r="G7" s="6" t="s">
        <v>33</v>
      </c>
      <c r="H7" s="27">
        <v>49800</v>
      </c>
      <c r="I7" s="6">
        <v>37.700000000000003</v>
      </c>
      <c r="J7" s="8">
        <v>23</v>
      </c>
      <c r="K7" s="8">
        <f t="shared" ca="1" si="0"/>
        <v>0</v>
      </c>
      <c r="L7" s="8"/>
      <c r="M7" s="19">
        <f>MIN(Table1[Salary])</f>
        <v>28900</v>
      </c>
    </row>
    <row r="8" spans="1:13" x14ac:dyDescent="0.45">
      <c r="A8" s="5">
        <v>7</v>
      </c>
      <c r="B8" s="6" t="s">
        <v>34</v>
      </c>
      <c r="C8" s="6" t="s">
        <v>35</v>
      </c>
      <c r="D8" s="6" t="s">
        <v>11</v>
      </c>
      <c r="E8" s="6" t="s">
        <v>21</v>
      </c>
      <c r="F8" s="7">
        <v>44563</v>
      </c>
      <c r="G8" s="6" t="s">
        <v>18</v>
      </c>
      <c r="H8" s="27">
        <v>33000</v>
      </c>
      <c r="I8" s="6">
        <v>31.8</v>
      </c>
      <c r="J8" s="8">
        <v>24</v>
      </c>
      <c r="K8" s="8">
        <f t="shared" ca="1" si="0"/>
        <v>0</v>
      </c>
    </row>
    <row r="9" spans="1:13" x14ac:dyDescent="0.45">
      <c r="A9" s="5">
        <v>8</v>
      </c>
      <c r="B9" s="6" t="s">
        <v>36</v>
      </c>
      <c r="C9" s="6" t="s">
        <v>37</v>
      </c>
      <c r="D9" s="6" t="s">
        <v>16</v>
      </c>
      <c r="E9" s="6" t="s">
        <v>17</v>
      </c>
      <c r="F9" s="7">
        <v>44031</v>
      </c>
      <c r="G9" s="6" t="s">
        <v>39</v>
      </c>
      <c r="H9" s="27">
        <v>41900</v>
      </c>
      <c r="I9" s="6">
        <v>35.9</v>
      </c>
      <c r="J9" s="8">
        <v>17</v>
      </c>
      <c r="K9" s="8">
        <f t="shared" ca="1" si="0"/>
        <v>0</v>
      </c>
    </row>
    <row r="10" spans="1:13" x14ac:dyDescent="0.45">
      <c r="A10" s="5">
        <v>9</v>
      </c>
      <c r="B10" s="6" t="s">
        <v>40</v>
      </c>
      <c r="C10" s="6" t="s">
        <v>41</v>
      </c>
      <c r="D10" s="6" t="s">
        <v>11</v>
      </c>
      <c r="E10" s="6" t="s">
        <v>12</v>
      </c>
      <c r="F10" s="7">
        <v>44510</v>
      </c>
      <c r="G10" s="6" t="s">
        <v>42</v>
      </c>
      <c r="H10" s="27">
        <v>58100</v>
      </c>
      <c r="I10" s="6">
        <v>31</v>
      </c>
      <c r="J10" s="8">
        <v>16</v>
      </c>
      <c r="K10" s="8">
        <f t="shared" ca="1" si="0"/>
        <v>0</v>
      </c>
      <c r="L10" s="8"/>
      <c r="M10" s="18" t="s">
        <v>353</v>
      </c>
    </row>
    <row r="11" spans="1:13" x14ac:dyDescent="0.45">
      <c r="A11" s="5">
        <v>10</v>
      </c>
      <c r="B11" s="6" t="s">
        <v>43</v>
      </c>
      <c r="C11" s="6" t="s">
        <v>44</v>
      </c>
      <c r="D11" s="6" t="s">
        <v>16</v>
      </c>
      <c r="E11" s="6" t="s">
        <v>29</v>
      </c>
      <c r="F11" s="7">
        <v>43641</v>
      </c>
      <c r="G11" s="6" t="s">
        <v>45</v>
      </c>
      <c r="H11" s="27">
        <v>82900</v>
      </c>
      <c r="I11" s="6">
        <v>31.1</v>
      </c>
      <c r="J11" s="8">
        <v>17</v>
      </c>
      <c r="K11" s="8">
        <f t="shared" ca="1" si="0"/>
        <v>0</v>
      </c>
      <c r="L11" s="8"/>
      <c r="M11" s="19">
        <f>MAX(Table1[Salary])</f>
        <v>85000</v>
      </c>
    </row>
    <row r="12" spans="1:13" x14ac:dyDescent="0.45">
      <c r="A12" s="5">
        <v>11</v>
      </c>
      <c r="B12" s="6" t="s">
        <v>46</v>
      </c>
      <c r="C12" s="6" t="s">
        <v>47</v>
      </c>
      <c r="D12" s="6" t="s">
        <v>11</v>
      </c>
      <c r="E12" s="6" t="s">
        <v>21</v>
      </c>
      <c r="F12" s="7">
        <v>44777</v>
      </c>
      <c r="G12" s="6" t="s">
        <v>22</v>
      </c>
      <c r="H12" s="27">
        <v>28900</v>
      </c>
      <c r="I12" s="6">
        <v>30.3</v>
      </c>
      <c r="J12" s="8">
        <v>16</v>
      </c>
      <c r="K12" s="8">
        <f t="shared" ca="1" si="0"/>
        <v>0</v>
      </c>
    </row>
    <row r="13" spans="1:13" x14ac:dyDescent="0.45">
      <c r="A13" s="5">
        <v>12</v>
      </c>
      <c r="B13" s="6" t="s">
        <v>48</v>
      </c>
      <c r="C13" s="6" t="s">
        <v>49</v>
      </c>
      <c r="D13" s="6" t="s">
        <v>16</v>
      </c>
      <c r="E13" s="6" t="s">
        <v>17</v>
      </c>
      <c r="F13" s="7">
        <v>43878</v>
      </c>
      <c r="G13" s="6" t="s">
        <v>18</v>
      </c>
      <c r="H13" s="27">
        <v>37300</v>
      </c>
      <c r="I13" s="6">
        <v>35</v>
      </c>
      <c r="J13" s="8">
        <v>11</v>
      </c>
      <c r="K13" s="8">
        <f t="shared" ca="1" si="0"/>
        <v>0</v>
      </c>
    </row>
    <row r="14" spans="1:13" x14ac:dyDescent="0.45">
      <c r="A14" s="5">
        <v>13</v>
      </c>
      <c r="B14" s="6" t="s">
        <v>50</v>
      </c>
      <c r="C14" s="6" t="s">
        <v>51</v>
      </c>
      <c r="D14" s="6" t="s">
        <v>11</v>
      </c>
      <c r="E14" s="6" t="s">
        <v>12</v>
      </c>
      <c r="F14" s="7">
        <v>44499</v>
      </c>
      <c r="G14" s="6" t="s">
        <v>13</v>
      </c>
      <c r="H14" s="27">
        <v>52700</v>
      </c>
      <c r="I14" s="6">
        <v>28.5</v>
      </c>
      <c r="J14" s="8">
        <v>25</v>
      </c>
      <c r="K14" s="8">
        <f t="shared" ca="1" si="0"/>
        <v>0</v>
      </c>
      <c r="L14" s="8"/>
      <c r="M14" s="18" t="s">
        <v>354</v>
      </c>
    </row>
    <row r="15" spans="1:13" x14ac:dyDescent="0.45">
      <c r="A15" s="5">
        <v>14</v>
      </c>
      <c r="B15" s="6" t="s">
        <v>53</v>
      </c>
      <c r="C15" s="6" t="s">
        <v>54</v>
      </c>
      <c r="D15" s="6" t="s">
        <v>16</v>
      </c>
      <c r="E15" s="6" t="s">
        <v>29</v>
      </c>
      <c r="F15" s="7">
        <v>43355</v>
      </c>
      <c r="G15" s="6" t="s">
        <v>56</v>
      </c>
      <c r="H15" s="27">
        <v>74700</v>
      </c>
      <c r="I15" s="6">
        <v>52.4</v>
      </c>
      <c r="J15" s="8">
        <v>10</v>
      </c>
      <c r="K15" s="8">
        <f t="shared" ca="1" si="0"/>
        <v>0</v>
      </c>
      <c r="L15" s="8"/>
      <c r="M15" s="19">
        <f>AVERAGE(Table1[Salary])</f>
        <v>54231.055900621119</v>
      </c>
    </row>
    <row r="16" spans="1:13" x14ac:dyDescent="0.45">
      <c r="A16" s="5">
        <v>15</v>
      </c>
      <c r="B16" s="6" t="s">
        <v>57</v>
      </c>
      <c r="C16" s="6" t="s">
        <v>58</v>
      </c>
      <c r="D16" s="6" t="s">
        <v>11</v>
      </c>
      <c r="E16" s="6" t="s">
        <v>12</v>
      </c>
      <c r="F16" s="7">
        <v>43529</v>
      </c>
      <c r="G16" s="6" t="s">
        <v>42</v>
      </c>
      <c r="H16" s="27">
        <v>55600</v>
      </c>
      <c r="I16" s="6">
        <v>35.4</v>
      </c>
      <c r="J16" s="8">
        <v>12</v>
      </c>
      <c r="K16" s="8">
        <f t="shared" ca="1" si="0"/>
        <v>0</v>
      </c>
    </row>
    <row r="17" spans="1:11" x14ac:dyDescent="0.45">
      <c r="A17" s="5">
        <v>16</v>
      </c>
      <c r="B17" s="6" t="s">
        <v>59</v>
      </c>
      <c r="C17" s="6" t="s">
        <v>60</v>
      </c>
      <c r="D17" s="6" t="s">
        <v>16</v>
      </c>
      <c r="E17" s="6" t="s">
        <v>21</v>
      </c>
      <c r="F17" s="7">
        <v>44702</v>
      </c>
      <c r="G17" s="6" t="s">
        <v>22</v>
      </c>
      <c r="H17" s="27">
        <v>32900</v>
      </c>
      <c r="I17" s="6">
        <v>29.8</v>
      </c>
      <c r="J17" s="8">
        <v>17</v>
      </c>
      <c r="K17" s="8">
        <f t="shared" ca="1" si="0"/>
        <v>0</v>
      </c>
    </row>
    <row r="18" spans="1:11" x14ac:dyDescent="0.45">
      <c r="A18" s="5">
        <v>17</v>
      </c>
      <c r="B18" s="6" t="s">
        <v>61</v>
      </c>
      <c r="C18" s="6" t="s">
        <v>62</v>
      </c>
      <c r="D18" s="6" t="s">
        <v>16</v>
      </c>
      <c r="E18" s="6" t="s">
        <v>17</v>
      </c>
      <c r="F18" s="7">
        <v>44416</v>
      </c>
      <c r="G18" s="6" t="s">
        <v>39</v>
      </c>
      <c r="H18" s="27">
        <v>41500</v>
      </c>
      <c r="I18" s="6">
        <v>32.299999999999997</v>
      </c>
      <c r="J18" s="8">
        <v>17</v>
      </c>
      <c r="K18" s="8">
        <f t="shared" ca="1" si="0"/>
        <v>0</v>
      </c>
    </row>
    <row r="19" spans="1:11" x14ac:dyDescent="0.45">
      <c r="A19" s="5">
        <v>18</v>
      </c>
      <c r="B19" s="6" t="s">
        <v>63</v>
      </c>
      <c r="C19" s="6" t="s">
        <v>64</v>
      </c>
      <c r="D19" s="6" t="s">
        <v>11</v>
      </c>
      <c r="E19" s="6" t="s">
        <v>12</v>
      </c>
      <c r="F19" s="7">
        <v>44158</v>
      </c>
      <c r="G19" s="6" t="s">
        <v>33</v>
      </c>
      <c r="H19" s="27">
        <v>49400</v>
      </c>
      <c r="I19" s="6">
        <v>31.1</v>
      </c>
      <c r="J19" s="8">
        <v>20</v>
      </c>
      <c r="K19" s="8">
        <f t="shared" ca="1" si="0"/>
        <v>0</v>
      </c>
    </row>
    <row r="20" spans="1:11" x14ac:dyDescent="0.45">
      <c r="A20" s="5">
        <v>19</v>
      </c>
      <c r="B20" s="6" t="s">
        <v>65</v>
      </c>
      <c r="C20" s="6" t="s">
        <v>66</v>
      </c>
      <c r="D20" s="6" t="s">
        <v>16</v>
      </c>
      <c r="E20" s="6" t="s">
        <v>29</v>
      </c>
      <c r="F20" s="7">
        <v>42931</v>
      </c>
      <c r="G20" s="6" t="s">
        <v>45</v>
      </c>
      <c r="H20" s="27">
        <v>82700</v>
      </c>
      <c r="I20" s="6">
        <v>33.5</v>
      </c>
      <c r="J20" s="8">
        <v>23</v>
      </c>
      <c r="K20" s="8">
        <f t="shared" ca="1" si="0"/>
        <v>0</v>
      </c>
    </row>
    <row r="21" spans="1:11" x14ac:dyDescent="0.45">
      <c r="A21" s="5">
        <v>20</v>
      </c>
      <c r="B21" s="6" t="s">
        <v>67</v>
      </c>
      <c r="C21" s="6" t="s">
        <v>68</v>
      </c>
      <c r="D21" s="6" t="s">
        <v>11</v>
      </c>
      <c r="E21" s="6" t="s">
        <v>21</v>
      </c>
      <c r="F21" s="7">
        <v>44650</v>
      </c>
      <c r="G21" s="6" t="s">
        <v>18</v>
      </c>
      <c r="H21" s="27">
        <v>38200</v>
      </c>
      <c r="I21" s="6">
        <v>31.1</v>
      </c>
      <c r="J21" s="8">
        <v>16</v>
      </c>
      <c r="K21" s="8">
        <f t="shared" ca="1" si="0"/>
        <v>0</v>
      </c>
    </row>
    <row r="22" spans="1:11" x14ac:dyDescent="0.45">
      <c r="A22" s="5">
        <v>21</v>
      </c>
      <c r="B22" s="6" t="s">
        <v>69</v>
      </c>
      <c r="C22" s="6" t="s">
        <v>70</v>
      </c>
      <c r="D22" s="6" t="s">
        <v>16</v>
      </c>
      <c r="E22" s="6" t="s">
        <v>17</v>
      </c>
      <c r="F22" s="7">
        <v>43712</v>
      </c>
      <c r="G22" s="6" t="s">
        <v>22</v>
      </c>
      <c r="H22" s="27">
        <v>32600</v>
      </c>
      <c r="I22" s="6">
        <v>31.5</v>
      </c>
      <c r="J22" s="8">
        <v>16</v>
      </c>
      <c r="K22" s="8">
        <f t="shared" ca="1" si="0"/>
        <v>0</v>
      </c>
    </row>
    <row r="23" spans="1:11" x14ac:dyDescent="0.45">
      <c r="A23" s="5">
        <v>22</v>
      </c>
      <c r="B23" s="6" t="s">
        <v>71</v>
      </c>
      <c r="C23" s="6" t="s">
        <v>72</v>
      </c>
      <c r="D23" s="6" t="s">
        <v>11</v>
      </c>
      <c r="E23" s="6" t="s">
        <v>12</v>
      </c>
      <c r="F23" s="7">
        <v>43270</v>
      </c>
      <c r="G23" s="6" t="s">
        <v>30</v>
      </c>
      <c r="H23" s="27">
        <v>76800</v>
      </c>
      <c r="I23" s="6">
        <v>32.700000000000003</v>
      </c>
      <c r="J23" s="8">
        <v>22</v>
      </c>
      <c r="K23" s="8">
        <f t="shared" ca="1" si="0"/>
        <v>0</v>
      </c>
    </row>
    <row r="24" spans="1:11" x14ac:dyDescent="0.45">
      <c r="A24" s="5">
        <v>23</v>
      </c>
      <c r="B24" s="6" t="s">
        <v>73</v>
      </c>
      <c r="C24" s="6" t="s">
        <v>74</v>
      </c>
      <c r="D24" s="6" t="s">
        <v>16</v>
      </c>
      <c r="E24" s="6" t="s">
        <v>29</v>
      </c>
      <c r="F24" s="7">
        <v>44203</v>
      </c>
      <c r="G24" s="6" t="s">
        <v>25</v>
      </c>
      <c r="H24" s="27">
        <v>62300</v>
      </c>
      <c r="I24" s="6">
        <v>33.799999999999997</v>
      </c>
      <c r="J24" s="8">
        <v>23</v>
      </c>
      <c r="K24" s="8">
        <f t="shared" ca="1" si="0"/>
        <v>0</v>
      </c>
    </row>
    <row r="25" spans="1:11" x14ac:dyDescent="0.45">
      <c r="A25" s="5">
        <v>24</v>
      </c>
      <c r="B25" s="6" t="s">
        <v>75</v>
      </c>
      <c r="C25" s="6" t="s">
        <v>76</v>
      </c>
      <c r="D25" s="6" t="s">
        <v>11</v>
      </c>
      <c r="E25" s="6" t="s">
        <v>12</v>
      </c>
      <c r="F25" s="7">
        <v>44068</v>
      </c>
      <c r="G25" s="6" t="s">
        <v>33</v>
      </c>
      <c r="H25" s="27">
        <v>46200</v>
      </c>
      <c r="I25" s="6">
        <v>30.1</v>
      </c>
      <c r="J25" s="8">
        <v>19</v>
      </c>
      <c r="K25" s="8">
        <f t="shared" ca="1" si="0"/>
        <v>0</v>
      </c>
    </row>
    <row r="26" spans="1:11" x14ac:dyDescent="0.45">
      <c r="A26" s="5">
        <v>25</v>
      </c>
      <c r="B26" s="6" t="s">
        <v>77</v>
      </c>
      <c r="C26" s="6" t="s">
        <v>78</v>
      </c>
      <c r="D26" s="6" t="s">
        <v>16</v>
      </c>
      <c r="E26" s="6" t="s">
        <v>21</v>
      </c>
      <c r="F26" s="7">
        <v>44969</v>
      </c>
      <c r="G26" s="6" t="s">
        <v>22</v>
      </c>
      <c r="H26" s="27">
        <v>32500</v>
      </c>
      <c r="I26" s="6">
        <v>63.7</v>
      </c>
      <c r="J26" s="8">
        <v>12</v>
      </c>
      <c r="K26" s="8">
        <f t="shared" ca="1" si="0"/>
        <v>0</v>
      </c>
    </row>
    <row r="27" spans="1:11" x14ac:dyDescent="0.45">
      <c r="A27" s="5">
        <v>26</v>
      </c>
      <c r="B27" s="6" t="s">
        <v>79</v>
      </c>
      <c r="C27" s="6" t="s">
        <v>80</v>
      </c>
      <c r="D27" s="6" t="s">
        <v>11</v>
      </c>
      <c r="E27" s="6" t="s">
        <v>17</v>
      </c>
      <c r="F27" s="7">
        <v>44866</v>
      </c>
      <c r="G27" s="6" t="s">
        <v>39</v>
      </c>
      <c r="H27" s="27">
        <v>43100</v>
      </c>
      <c r="I27" s="6">
        <v>33.799999999999997</v>
      </c>
      <c r="J27" s="8">
        <v>16</v>
      </c>
      <c r="K27" s="8">
        <f t="shared" ca="1" si="0"/>
        <v>0</v>
      </c>
    </row>
    <row r="28" spans="1:11" x14ac:dyDescent="0.45">
      <c r="A28" s="5">
        <v>27</v>
      </c>
      <c r="B28" s="6" t="s">
        <v>81</v>
      </c>
      <c r="C28" s="6" t="s">
        <v>82</v>
      </c>
      <c r="D28" s="6" t="s">
        <v>16</v>
      </c>
      <c r="E28" s="6" t="s">
        <v>12</v>
      </c>
      <c r="F28" s="7">
        <v>43571</v>
      </c>
      <c r="G28" s="6" t="s">
        <v>42</v>
      </c>
      <c r="H28" s="27">
        <v>60000</v>
      </c>
      <c r="I28" s="6">
        <v>28.8</v>
      </c>
      <c r="J28" s="8">
        <v>18</v>
      </c>
      <c r="K28" s="8">
        <f t="shared" ca="1" si="0"/>
        <v>0</v>
      </c>
    </row>
    <row r="29" spans="1:11" x14ac:dyDescent="0.45">
      <c r="A29" s="5">
        <v>28</v>
      </c>
      <c r="B29" s="6" t="s">
        <v>83</v>
      </c>
      <c r="C29" s="6" t="s">
        <v>84</v>
      </c>
      <c r="D29" s="6" t="s">
        <v>11</v>
      </c>
      <c r="E29" s="6" t="s">
        <v>29</v>
      </c>
      <c r="F29" s="7">
        <v>43382</v>
      </c>
      <c r="G29" s="6" t="s">
        <v>45</v>
      </c>
      <c r="H29" s="27">
        <v>82100</v>
      </c>
      <c r="I29" s="6">
        <v>32.700000000000003</v>
      </c>
      <c r="J29" s="8">
        <v>14</v>
      </c>
      <c r="K29" s="8">
        <f t="shared" ca="1" si="0"/>
        <v>0</v>
      </c>
    </row>
    <row r="30" spans="1:11" x14ac:dyDescent="0.45">
      <c r="A30" s="5">
        <v>29</v>
      </c>
      <c r="B30" s="6" t="s">
        <v>85</v>
      </c>
      <c r="C30" s="6" t="s">
        <v>86</v>
      </c>
      <c r="D30" s="6" t="s">
        <v>16</v>
      </c>
      <c r="E30" s="6" t="s">
        <v>21</v>
      </c>
      <c r="F30" s="7">
        <v>45072</v>
      </c>
      <c r="G30" s="6" t="s">
        <v>18</v>
      </c>
      <c r="H30" s="27">
        <v>35900</v>
      </c>
      <c r="I30" s="6">
        <v>29.9</v>
      </c>
      <c r="J30" s="8">
        <v>15</v>
      </c>
      <c r="K30" s="8">
        <f t="shared" ca="1" si="0"/>
        <v>0</v>
      </c>
    </row>
    <row r="31" spans="1:11" x14ac:dyDescent="0.45">
      <c r="A31" s="5">
        <v>30</v>
      </c>
      <c r="B31" s="6" t="s">
        <v>87</v>
      </c>
      <c r="C31" s="6" t="s">
        <v>88</v>
      </c>
      <c r="D31" s="6" t="s">
        <v>11</v>
      </c>
      <c r="E31" s="6" t="s">
        <v>17</v>
      </c>
      <c r="F31" s="7">
        <v>43843</v>
      </c>
      <c r="G31" s="6" t="s">
        <v>22</v>
      </c>
      <c r="H31" s="27">
        <v>31100</v>
      </c>
      <c r="I31" s="6">
        <v>27</v>
      </c>
      <c r="J31" s="8">
        <v>20</v>
      </c>
      <c r="K31" s="8">
        <f t="shared" ca="1" si="0"/>
        <v>0</v>
      </c>
    </row>
    <row r="32" spans="1:11" x14ac:dyDescent="0.45">
      <c r="A32" s="5">
        <v>31</v>
      </c>
      <c r="B32" s="6" t="s">
        <v>89</v>
      </c>
      <c r="C32" s="6" t="s">
        <v>90</v>
      </c>
      <c r="D32" s="6" t="s">
        <v>16</v>
      </c>
      <c r="E32" s="6" t="s">
        <v>12</v>
      </c>
      <c r="F32" s="7">
        <v>43308</v>
      </c>
      <c r="G32" s="6" t="s">
        <v>56</v>
      </c>
      <c r="H32" s="27">
        <v>74200</v>
      </c>
      <c r="I32" s="6">
        <v>30.6</v>
      </c>
      <c r="J32" s="8">
        <v>27</v>
      </c>
      <c r="K32" s="8">
        <f t="shared" ca="1" si="0"/>
        <v>0</v>
      </c>
    </row>
    <row r="33" spans="1:11" x14ac:dyDescent="0.45">
      <c r="A33" s="5">
        <v>32</v>
      </c>
      <c r="B33" s="6" t="s">
        <v>91</v>
      </c>
      <c r="C33" s="6" t="s">
        <v>92</v>
      </c>
      <c r="D33" s="6" t="s">
        <v>11</v>
      </c>
      <c r="E33" s="6" t="s">
        <v>29</v>
      </c>
      <c r="F33" s="7">
        <v>43538</v>
      </c>
      <c r="G33" s="6" t="s">
        <v>42</v>
      </c>
      <c r="H33" s="27">
        <v>57100</v>
      </c>
      <c r="I33" s="6">
        <v>28.7</v>
      </c>
      <c r="J33" s="8">
        <v>13</v>
      </c>
      <c r="K33" s="8">
        <f t="shared" ca="1" si="0"/>
        <v>0</v>
      </c>
    </row>
    <row r="34" spans="1:11" x14ac:dyDescent="0.45">
      <c r="A34" s="5">
        <v>33</v>
      </c>
      <c r="B34" s="6" t="s">
        <v>93</v>
      </c>
      <c r="C34" s="6" t="s">
        <v>94</v>
      </c>
      <c r="D34" s="6" t="s">
        <v>16</v>
      </c>
      <c r="E34" s="6" t="s">
        <v>21</v>
      </c>
      <c r="F34" s="7">
        <v>44832</v>
      </c>
      <c r="G34" s="6" t="s">
        <v>22</v>
      </c>
      <c r="H34" s="27">
        <v>35200</v>
      </c>
      <c r="I34" s="6">
        <v>33.700000000000003</v>
      </c>
      <c r="J34" s="8">
        <v>21</v>
      </c>
      <c r="K34" s="8">
        <f t="shared" ca="1" si="0"/>
        <v>0</v>
      </c>
    </row>
    <row r="35" spans="1:11" x14ac:dyDescent="0.45">
      <c r="A35" s="5">
        <v>34</v>
      </c>
      <c r="B35" s="6" t="s">
        <v>95</v>
      </c>
      <c r="C35" s="6" t="s">
        <v>96</v>
      </c>
      <c r="D35" s="6" t="s">
        <v>11</v>
      </c>
      <c r="E35" s="6" t="s">
        <v>17</v>
      </c>
      <c r="F35" s="7">
        <v>44297</v>
      </c>
      <c r="G35" s="6" t="s">
        <v>39</v>
      </c>
      <c r="H35" s="27">
        <v>42800</v>
      </c>
      <c r="I35" s="6">
        <v>31.2</v>
      </c>
      <c r="J35" s="8">
        <v>18</v>
      </c>
      <c r="K35" s="8">
        <f t="shared" ca="1" si="0"/>
        <v>0</v>
      </c>
    </row>
    <row r="36" spans="1:11" x14ac:dyDescent="0.45">
      <c r="A36" s="5">
        <v>35</v>
      </c>
      <c r="B36" s="6" t="s">
        <v>97</v>
      </c>
      <c r="C36" s="6" t="s">
        <v>98</v>
      </c>
      <c r="D36" s="6" t="s">
        <v>16</v>
      </c>
      <c r="E36" s="6" t="s">
        <v>12</v>
      </c>
      <c r="F36" s="7">
        <v>43856</v>
      </c>
      <c r="G36" s="6" t="s">
        <v>33</v>
      </c>
      <c r="H36" s="27">
        <v>46900</v>
      </c>
      <c r="I36" s="6">
        <v>34.9</v>
      </c>
      <c r="J36" s="8">
        <v>16</v>
      </c>
      <c r="K36" s="8">
        <f t="shared" ca="1" si="0"/>
        <v>0</v>
      </c>
    </row>
    <row r="37" spans="1:11" x14ac:dyDescent="0.45">
      <c r="A37" s="5">
        <v>36</v>
      </c>
      <c r="B37" s="6" t="s">
        <v>99</v>
      </c>
      <c r="C37" s="6" t="s">
        <v>100</v>
      </c>
      <c r="D37" s="6" t="s">
        <v>11</v>
      </c>
      <c r="E37" s="6" t="s">
        <v>29</v>
      </c>
      <c r="F37" s="7">
        <v>42950</v>
      </c>
      <c r="G37" s="6" t="s">
        <v>45</v>
      </c>
      <c r="H37" s="27">
        <v>80700</v>
      </c>
      <c r="I37" s="6">
        <v>26.1</v>
      </c>
      <c r="J37" s="8">
        <v>13</v>
      </c>
      <c r="K37" s="8">
        <f t="shared" ca="1" si="0"/>
        <v>0</v>
      </c>
    </row>
    <row r="38" spans="1:11" x14ac:dyDescent="0.45">
      <c r="A38" s="5">
        <v>37</v>
      </c>
      <c r="B38" s="6" t="s">
        <v>101</v>
      </c>
      <c r="C38" s="6" t="s">
        <v>102</v>
      </c>
      <c r="D38" s="6" t="s">
        <v>16</v>
      </c>
      <c r="E38" s="6" t="s">
        <v>21</v>
      </c>
      <c r="F38" s="7">
        <v>45004</v>
      </c>
      <c r="G38" s="6" t="s">
        <v>18</v>
      </c>
      <c r="H38" s="27">
        <v>36500</v>
      </c>
      <c r="I38" s="6">
        <v>23.5</v>
      </c>
      <c r="J38" s="8">
        <v>17</v>
      </c>
      <c r="K38" s="8">
        <f t="shared" ca="1" si="0"/>
        <v>0</v>
      </c>
    </row>
    <row r="39" spans="1:11" x14ac:dyDescent="0.45">
      <c r="A39" s="5">
        <v>38</v>
      </c>
      <c r="B39" s="6" t="s">
        <v>103</v>
      </c>
      <c r="C39" s="6" t="s">
        <v>104</v>
      </c>
      <c r="D39" s="6" t="s">
        <v>11</v>
      </c>
      <c r="E39" s="6" t="s">
        <v>17</v>
      </c>
      <c r="F39" s="7">
        <v>44849</v>
      </c>
      <c r="G39" s="6" t="s">
        <v>22</v>
      </c>
      <c r="H39" s="27">
        <v>31900</v>
      </c>
      <c r="I39" s="6">
        <v>29.6</v>
      </c>
      <c r="J39" s="8">
        <v>25</v>
      </c>
      <c r="K39" s="8">
        <f t="shared" ca="1" si="0"/>
        <v>0</v>
      </c>
    </row>
    <row r="40" spans="1:11" x14ac:dyDescent="0.45">
      <c r="A40" s="5">
        <v>39</v>
      </c>
      <c r="B40" s="6" t="s">
        <v>105</v>
      </c>
      <c r="C40" s="6" t="s">
        <v>106</v>
      </c>
      <c r="D40" s="6" t="s">
        <v>16</v>
      </c>
      <c r="E40" s="6" t="s">
        <v>12</v>
      </c>
      <c r="F40" s="7">
        <v>43626</v>
      </c>
      <c r="G40" s="6" t="s">
        <v>13</v>
      </c>
      <c r="H40" s="27">
        <v>52700</v>
      </c>
      <c r="I40" s="6">
        <v>32.200000000000003</v>
      </c>
      <c r="J40" s="8">
        <v>16</v>
      </c>
      <c r="K40" s="8">
        <f t="shared" ca="1" si="0"/>
        <v>0</v>
      </c>
    </row>
    <row r="41" spans="1:11" x14ac:dyDescent="0.45">
      <c r="A41" s="5">
        <v>40</v>
      </c>
      <c r="B41" s="6" t="s">
        <v>107</v>
      </c>
      <c r="C41" s="6" t="s">
        <v>108</v>
      </c>
      <c r="D41" s="6" t="s">
        <v>11</v>
      </c>
      <c r="E41" s="6" t="s">
        <v>29</v>
      </c>
      <c r="F41" s="7">
        <v>43223</v>
      </c>
      <c r="G41" s="6" t="s">
        <v>25</v>
      </c>
      <c r="H41" s="27">
        <v>61400</v>
      </c>
      <c r="I41" s="6">
        <v>37.799999999999997</v>
      </c>
      <c r="J41" s="8">
        <v>15</v>
      </c>
      <c r="K41" s="8">
        <f t="shared" ca="1" si="0"/>
        <v>0</v>
      </c>
    </row>
    <row r="42" spans="1:11" x14ac:dyDescent="0.45">
      <c r="A42" s="5">
        <v>41</v>
      </c>
      <c r="B42" s="6" t="s">
        <v>109</v>
      </c>
      <c r="C42" s="6" t="s">
        <v>110</v>
      </c>
      <c r="D42" s="6" t="s">
        <v>16</v>
      </c>
      <c r="E42" s="6" t="s">
        <v>21</v>
      </c>
      <c r="F42" s="7">
        <v>44468</v>
      </c>
      <c r="G42" s="6" t="s">
        <v>30</v>
      </c>
      <c r="H42" s="27">
        <v>79300</v>
      </c>
      <c r="I42" s="6">
        <v>34.9</v>
      </c>
      <c r="J42" s="8">
        <v>18</v>
      </c>
      <c r="K42" s="8">
        <f t="shared" ca="1" si="0"/>
        <v>0</v>
      </c>
    </row>
    <row r="43" spans="1:11" x14ac:dyDescent="0.45">
      <c r="A43" s="5">
        <v>42</v>
      </c>
      <c r="B43" s="6" t="s">
        <v>112</v>
      </c>
      <c r="C43" s="6" t="s">
        <v>113</v>
      </c>
      <c r="D43" s="6" t="s">
        <v>11</v>
      </c>
      <c r="E43" s="6" t="s">
        <v>17</v>
      </c>
      <c r="F43" s="7">
        <v>43875</v>
      </c>
      <c r="G43" s="6" t="s">
        <v>33</v>
      </c>
      <c r="H43" s="27">
        <v>49000</v>
      </c>
      <c r="I43" s="6">
        <v>35.299999999999997</v>
      </c>
      <c r="J43" s="8">
        <v>13</v>
      </c>
      <c r="K43" s="8">
        <f t="shared" ca="1" si="0"/>
        <v>0</v>
      </c>
    </row>
    <row r="44" spans="1:11" x14ac:dyDescent="0.45">
      <c r="A44" s="5">
        <v>43</v>
      </c>
      <c r="B44" s="6" t="s">
        <v>114</v>
      </c>
      <c r="C44" s="6" t="s">
        <v>115</v>
      </c>
      <c r="D44" s="6" t="s">
        <v>16</v>
      </c>
      <c r="E44" s="6" t="s">
        <v>12</v>
      </c>
      <c r="F44" s="7">
        <v>44927</v>
      </c>
      <c r="G44" s="6" t="s">
        <v>39</v>
      </c>
      <c r="H44" s="27">
        <v>44800</v>
      </c>
      <c r="I44" s="6">
        <v>30</v>
      </c>
      <c r="J44" s="8">
        <v>17</v>
      </c>
      <c r="K44" s="8">
        <f t="shared" ca="1" si="0"/>
        <v>0</v>
      </c>
    </row>
    <row r="45" spans="1:11" x14ac:dyDescent="0.45">
      <c r="A45" s="5">
        <v>44</v>
      </c>
      <c r="B45" s="6" t="s">
        <v>116</v>
      </c>
      <c r="C45" s="6" t="s">
        <v>117</v>
      </c>
      <c r="D45" s="6" t="s">
        <v>11</v>
      </c>
      <c r="E45" s="6" t="s">
        <v>21</v>
      </c>
      <c r="F45" s="7">
        <v>44890</v>
      </c>
      <c r="G45" s="6" t="s">
        <v>22</v>
      </c>
      <c r="H45" s="27">
        <v>29700</v>
      </c>
      <c r="I45" s="6">
        <v>32.299999999999997</v>
      </c>
      <c r="J45" s="8">
        <v>15</v>
      </c>
      <c r="K45" s="8">
        <f t="shared" ca="1" si="0"/>
        <v>0</v>
      </c>
    </row>
    <row r="46" spans="1:11" x14ac:dyDescent="0.45">
      <c r="A46" s="5">
        <v>45</v>
      </c>
      <c r="B46" s="6" t="s">
        <v>118</v>
      </c>
      <c r="C46" s="6" t="s">
        <v>119</v>
      </c>
      <c r="D46" s="6" t="s">
        <v>16</v>
      </c>
      <c r="E46" s="6" t="s">
        <v>17</v>
      </c>
      <c r="F46" s="7">
        <v>43930</v>
      </c>
      <c r="G46" s="6" t="s">
        <v>18</v>
      </c>
      <c r="H46" s="27">
        <v>39700</v>
      </c>
      <c r="I46" s="6">
        <v>30</v>
      </c>
      <c r="J46" s="8">
        <v>18</v>
      </c>
      <c r="K46" s="8">
        <f t="shared" ca="1" si="0"/>
        <v>0</v>
      </c>
    </row>
    <row r="47" spans="1:11" x14ac:dyDescent="0.45">
      <c r="A47" s="5">
        <v>46</v>
      </c>
      <c r="B47" s="6" t="s">
        <v>120</v>
      </c>
      <c r="C47" s="6" t="s">
        <v>121</v>
      </c>
      <c r="D47" s="6" t="s">
        <v>11</v>
      </c>
      <c r="E47" s="6" t="s">
        <v>12</v>
      </c>
      <c r="F47" s="7">
        <v>44500</v>
      </c>
      <c r="G47" s="6" t="s">
        <v>13</v>
      </c>
      <c r="H47" s="27">
        <v>52500</v>
      </c>
      <c r="I47" s="6">
        <v>55.9</v>
      </c>
      <c r="J47" s="8">
        <v>16</v>
      </c>
      <c r="K47" s="8">
        <f t="shared" ca="1" si="0"/>
        <v>0</v>
      </c>
    </row>
    <row r="48" spans="1:11" x14ac:dyDescent="0.45">
      <c r="A48" s="5">
        <v>47</v>
      </c>
      <c r="B48" s="6" t="s">
        <v>122</v>
      </c>
      <c r="C48" s="6" t="s">
        <v>123</v>
      </c>
      <c r="D48" s="6" t="s">
        <v>16</v>
      </c>
      <c r="E48" s="6" t="s">
        <v>29</v>
      </c>
      <c r="F48" s="7">
        <v>43326</v>
      </c>
      <c r="G48" s="6" t="s">
        <v>56</v>
      </c>
      <c r="H48" s="27">
        <v>73500</v>
      </c>
      <c r="I48" s="6">
        <v>62.6</v>
      </c>
      <c r="J48" s="8">
        <v>23</v>
      </c>
      <c r="K48" s="8">
        <f t="shared" ca="1" si="0"/>
        <v>0</v>
      </c>
    </row>
    <row r="49" spans="1:11" x14ac:dyDescent="0.45">
      <c r="A49" s="5">
        <v>48</v>
      </c>
      <c r="B49" s="6" t="s">
        <v>124</v>
      </c>
      <c r="C49" s="6" t="s">
        <v>125</v>
      </c>
      <c r="D49" s="6" t="s">
        <v>16</v>
      </c>
      <c r="E49" s="6" t="s">
        <v>12</v>
      </c>
      <c r="F49" s="7">
        <v>43551</v>
      </c>
      <c r="G49" s="6" t="s">
        <v>42</v>
      </c>
      <c r="H49" s="27">
        <v>57800</v>
      </c>
      <c r="I49" s="6">
        <v>34.200000000000003</v>
      </c>
      <c r="J49" s="8">
        <v>14</v>
      </c>
      <c r="K49" s="8">
        <f t="shared" ca="1" si="0"/>
        <v>0</v>
      </c>
    </row>
    <row r="50" spans="1:11" x14ac:dyDescent="0.45">
      <c r="A50" s="5">
        <v>49</v>
      </c>
      <c r="B50" s="6" t="s">
        <v>126</v>
      </c>
      <c r="C50" s="6" t="s">
        <v>127</v>
      </c>
      <c r="D50" s="6" t="s">
        <v>11</v>
      </c>
      <c r="E50" s="6" t="s">
        <v>21</v>
      </c>
      <c r="F50" s="7">
        <v>44754</v>
      </c>
      <c r="G50" s="6" t="s">
        <v>22</v>
      </c>
      <c r="H50" s="27">
        <v>34900</v>
      </c>
      <c r="I50" s="6">
        <v>30.2</v>
      </c>
      <c r="J50" s="8">
        <v>19</v>
      </c>
      <c r="K50" s="8">
        <f t="shared" ca="1" si="0"/>
        <v>0</v>
      </c>
    </row>
    <row r="51" spans="1:11" x14ac:dyDescent="0.45">
      <c r="A51" s="5">
        <v>50</v>
      </c>
      <c r="B51" s="6" t="s">
        <v>128</v>
      </c>
      <c r="C51" s="6" t="s">
        <v>129</v>
      </c>
      <c r="D51" s="6" t="s">
        <v>16</v>
      </c>
      <c r="E51" s="6" t="s">
        <v>17</v>
      </c>
      <c r="F51" s="7">
        <v>44311</v>
      </c>
      <c r="G51" s="6" t="s">
        <v>39</v>
      </c>
      <c r="H51" s="27">
        <v>44400</v>
      </c>
      <c r="I51" s="6">
        <v>31.5</v>
      </c>
      <c r="J51" s="8">
        <v>18</v>
      </c>
      <c r="K51" s="8">
        <f t="shared" ca="1" si="0"/>
        <v>0</v>
      </c>
    </row>
    <row r="52" spans="1:11" x14ac:dyDescent="0.45">
      <c r="A52" s="5">
        <v>51</v>
      </c>
      <c r="B52" s="6" t="s">
        <v>130</v>
      </c>
      <c r="C52" s="6" t="s">
        <v>131</v>
      </c>
      <c r="D52" s="6" t="s">
        <v>16</v>
      </c>
      <c r="E52" s="6" t="s">
        <v>12</v>
      </c>
      <c r="F52" s="7">
        <v>44082</v>
      </c>
      <c r="G52" s="6" t="s">
        <v>33</v>
      </c>
      <c r="H52" s="27">
        <v>46000</v>
      </c>
      <c r="I52" s="6">
        <v>53.5</v>
      </c>
      <c r="J52" s="8">
        <v>15</v>
      </c>
      <c r="K52" s="8">
        <f t="shared" ca="1" si="0"/>
        <v>0</v>
      </c>
    </row>
    <row r="53" spans="1:11" x14ac:dyDescent="0.45">
      <c r="A53" s="5">
        <v>52</v>
      </c>
      <c r="B53" s="6" t="s">
        <v>132</v>
      </c>
      <c r="C53" s="6" t="s">
        <v>133</v>
      </c>
      <c r="D53" s="6" t="s">
        <v>16</v>
      </c>
      <c r="E53" s="6" t="s">
        <v>29</v>
      </c>
      <c r="F53" s="7">
        <v>42848</v>
      </c>
      <c r="G53" s="6" t="s">
        <v>45</v>
      </c>
      <c r="H53" s="27">
        <v>84800</v>
      </c>
      <c r="I53" s="6">
        <v>34.4</v>
      </c>
      <c r="J53" s="8">
        <v>18</v>
      </c>
      <c r="K53" s="8">
        <f t="shared" ca="1" si="0"/>
        <v>0</v>
      </c>
    </row>
    <row r="54" spans="1:11" x14ac:dyDescent="0.45">
      <c r="A54" s="5">
        <v>53</v>
      </c>
      <c r="B54" s="6" t="s">
        <v>134</v>
      </c>
      <c r="C54" s="6" t="s">
        <v>135</v>
      </c>
      <c r="D54" s="6" t="s">
        <v>11</v>
      </c>
      <c r="E54" s="6" t="s">
        <v>21</v>
      </c>
      <c r="F54" s="7">
        <v>44971</v>
      </c>
      <c r="G54" s="6" t="s">
        <v>18</v>
      </c>
      <c r="H54" s="27">
        <v>39300</v>
      </c>
      <c r="I54" s="6">
        <v>37.9</v>
      </c>
      <c r="J54" s="8">
        <v>16</v>
      </c>
      <c r="K54" s="8">
        <f t="shared" ca="1" si="0"/>
        <v>0</v>
      </c>
    </row>
    <row r="55" spans="1:11" x14ac:dyDescent="0.45">
      <c r="A55" s="5">
        <v>54</v>
      </c>
      <c r="B55" s="6" t="s">
        <v>136</v>
      </c>
      <c r="C55" s="6" t="s">
        <v>137</v>
      </c>
      <c r="D55" s="6" t="s">
        <v>11</v>
      </c>
      <c r="E55" s="6" t="s">
        <v>17</v>
      </c>
      <c r="F55" s="7">
        <v>44926</v>
      </c>
      <c r="G55" s="6" t="s">
        <v>22</v>
      </c>
      <c r="H55" s="27">
        <v>29000</v>
      </c>
      <c r="I55" s="6">
        <v>30.4</v>
      </c>
      <c r="J55" s="8">
        <v>30</v>
      </c>
      <c r="K55" s="8">
        <f t="shared" ca="1" si="0"/>
        <v>0</v>
      </c>
    </row>
    <row r="56" spans="1:11" x14ac:dyDescent="0.45">
      <c r="A56" s="5">
        <v>55</v>
      </c>
      <c r="B56" s="6" t="s">
        <v>138</v>
      </c>
      <c r="C56" s="6" t="s">
        <v>139</v>
      </c>
      <c r="D56" s="6" t="s">
        <v>16</v>
      </c>
      <c r="E56" s="6" t="s">
        <v>12</v>
      </c>
      <c r="F56" s="7">
        <v>43631</v>
      </c>
      <c r="G56" s="6" t="s">
        <v>13</v>
      </c>
      <c r="H56" s="27">
        <v>53900</v>
      </c>
      <c r="I56" s="6">
        <v>32.5</v>
      </c>
      <c r="J56" s="8">
        <v>23</v>
      </c>
      <c r="K56" s="8">
        <f t="shared" ca="1" si="0"/>
        <v>0</v>
      </c>
    </row>
    <row r="57" spans="1:11" x14ac:dyDescent="0.45">
      <c r="A57" s="5">
        <v>56</v>
      </c>
      <c r="B57" s="6" t="s">
        <v>140</v>
      </c>
      <c r="C57" s="6" t="s">
        <v>141</v>
      </c>
      <c r="D57" s="6" t="s">
        <v>11</v>
      </c>
      <c r="E57" s="6" t="s">
        <v>29</v>
      </c>
      <c r="F57" s="7">
        <v>43401</v>
      </c>
      <c r="G57" s="6" t="s">
        <v>25</v>
      </c>
      <c r="H57" s="27">
        <v>63600</v>
      </c>
      <c r="I57" s="6">
        <v>35</v>
      </c>
      <c r="J57" s="8">
        <v>10</v>
      </c>
      <c r="K57" s="8">
        <f t="shared" ca="1" si="0"/>
        <v>0</v>
      </c>
    </row>
    <row r="58" spans="1:11" x14ac:dyDescent="0.45">
      <c r="A58" s="5">
        <v>57</v>
      </c>
      <c r="B58" s="6" t="s">
        <v>143</v>
      </c>
      <c r="C58" s="6" t="s">
        <v>144</v>
      </c>
      <c r="D58" s="6" t="s">
        <v>16</v>
      </c>
      <c r="E58" s="6" t="s">
        <v>21</v>
      </c>
      <c r="F58" s="7">
        <v>44543</v>
      </c>
      <c r="G58" s="6" t="s">
        <v>30</v>
      </c>
      <c r="H58" s="27">
        <v>77000</v>
      </c>
      <c r="I58" s="6">
        <v>36.299999999999997</v>
      </c>
      <c r="J58" s="8">
        <v>17</v>
      </c>
      <c r="K58" s="8">
        <f t="shared" ca="1" si="0"/>
        <v>0</v>
      </c>
    </row>
    <row r="59" spans="1:11" x14ac:dyDescent="0.45">
      <c r="A59" s="5">
        <v>58</v>
      </c>
      <c r="B59" s="6" t="s">
        <v>145</v>
      </c>
      <c r="C59" s="6" t="s">
        <v>146</v>
      </c>
      <c r="D59" s="6" t="s">
        <v>11</v>
      </c>
      <c r="E59" s="6" t="s">
        <v>12</v>
      </c>
      <c r="F59" s="7">
        <v>44038</v>
      </c>
      <c r="G59" s="6" t="s">
        <v>33</v>
      </c>
      <c r="H59" s="27">
        <v>49700</v>
      </c>
      <c r="I59" s="6">
        <v>30.9</v>
      </c>
      <c r="J59" s="8">
        <v>19</v>
      </c>
      <c r="K59" s="8">
        <f t="shared" ca="1" si="0"/>
        <v>0</v>
      </c>
    </row>
    <row r="60" spans="1:11" x14ac:dyDescent="0.45">
      <c r="A60" s="5">
        <v>59</v>
      </c>
      <c r="B60" s="6" t="s">
        <v>147</v>
      </c>
      <c r="C60" s="6" t="s">
        <v>148</v>
      </c>
      <c r="D60" s="6" t="s">
        <v>16</v>
      </c>
      <c r="E60" s="6" t="s">
        <v>17</v>
      </c>
      <c r="F60" s="7">
        <v>45099</v>
      </c>
      <c r="G60" s="6" t="s">
        <v>39</v>
      </c>
      <c r="H60" s="27">
        <v>43000</v>
      </c>
      <c r="I60" s="6">
        <v>33.6</v>
      </c>
      <c r="J60" s="8">
        <v>4</v>
      </c>
      <c r="K60" s="8">
        <f t="shared" ca="1" si="0"/>
        <v>0</v>
      </c>
    </row>
    <row r="61" spans="1:11" x14ac:dyDescent="0.45">
      <c r="A61" s="5">
        <v>60</v>
      </c>
      <c r="B61" s="6" t="s">
        <v>149</v>
      </c>
      <c r="C61" s="6" t="s">
        <v>150</v>
      </c>
      <c r="D61" s="6" t="s">
        <v>16</v>
      </c>
      <c r="E61" s="6" t="s">
        <v>12</v>
      </c>
      <c r="F61" s="7">
        <v>43722</v>
      </c>
      <c r="G61" s="6" t="s">
        <v>22</v>
      </c>
      <c r="H61" s="27">
        <v>36200</v>
      </c>
      <c r="I61" s="6">
        <v>36</v>
      </c>
      <c r="J61" s="8">
        <v>19</v>
      </c>
      <c r="K61" s="8">
        <f t="shared" ca="1" si="0"/>
        <v>0</v>
      </c>
    </row>
    <row r="62" spans="1:11" x14ac:dyDescent="0.45">
      <c r="A62" s="5">
        <v>61</v>
      </c>
      <c r="B62" s="6" t="s">
        <v>152</v>
      </c>
      <c r="C62" s="6" t="s">
        <v>153</v>
      </c>
      <c r="D62" s="6" t="s">
        <v>11</v>
      </c>
      <c r="E62" s="6" t="s">
        <v>29</v>
      </c>
      <c r="F62" s="7">
        <v>43196</v>
      </c>
      <c r="G62" s="6" t="s">
        <v>56</v>
      </c>
      <c r="H62" s="27">
        <v>70800</v>
      </c>
      <c r="I62" s="6">
        <v>36.799999999999997</v>
      </c>
      <c r="J62" s="8">
        <v>18</v>
      </c>
      <c r="K62" s="8">
        <f t="shared" ca="1" si="0"/>
        <v>0</v>
      </c>
    </row>
    <row r="63" spans="1:11" x14ac:dyDescent="0.45">
      <c r="A63" s="5">
        <v>62</v>
      </c>
      <c r="B63" s="6" t="s">
        <v>154</v>
      </c>
      <c r="C63" s="6" t="s">
        <v>155</v>
      </c>
      <c r="D63" s="6" t="s">
        <v>11</v>
      </c>
      <c r="E63" s="6" t="s">
        <v>21</v>
      </c>
      <c r="F63" s="7">
        <v>43849</v>
      </c>
      <c r="G63" s="6" t="s">
        <v>42</v>
      </c>
      <c r="H63" s="27">
        <v>55700</v>
      </c>
      <c r="I63" s="6">
        <v>31.6</v>
      </c>
      <c r="J63" s="8">
        <v>22</v>
      </c>
      <c r="K63" s="8">
        <f t="shared" ca="1" si="0"/>
        <v>0</v>
      </c>
    </row>
    <row r="64" spans="1:11" x14ac:dyDescent="0.45">
      <c r="A64" s="5">
        <v>63</v>
      </c>
      <c r="B64" s="6" t="s">
        <v>157</v>
      </c>
      <c r="C64" s="6" t="s">
        <v>158</v>
      </c>
      <c r="D64" s="6" t="s">
        <v>16</v>
      </c>
      <c r="E64" s="6" t="s">
        <v>17</v>
      </c>
      <c r="F64" s="7">
        <v>44746</v>
      </c>
      <c r="G64" s="6" t="s">
        <v>45</v>
      </c>
      <c r="H64" s="27">
        <v>83600</v>
      </c>
      <c r="I64" s="6">
        <v>33.1</v>
      </c>
      <c r="J64" s="8">
        <v>18</v>
      </c>
      <c r="K64" s="8">
        <f t="shared" ca="1" si="0"/>
        <v>0</v>
      </c>
    </row>
    <row r="65" spans="1:11" x14ac:dyDescent="0.45">
      <c r="A65" s="5">
        <v>64</v>
      </c>
      <c r="B65" s="6" t="s">
        <v>159</v>
      </c>
      <c r="C65" s="6" t="s">
        <v>160</v>
      </c>
      <c r="D65" s="6" t="s">
        <v>11</v>
      </c>
      <c r="E65" s="6" t="s">
        <v>12</v>
      </c>
      <c r="F65" s="7">
        <v>44425</v>
      </c>
      <c r="G65" s="6" t="s">
        <v>18</v>
      </c>
      <c r="H65" s="27">
        <v>39800</v>
      </c>
      <c r="I65" s="6">
        <v>31.3</v>
      </c>
      <c r="J65" s="8">
        <v>15</v>
      </c>
      <c r="K65" s="8">
        <f t="shared" ca="1" si="0"/>
        <v>0</v>
      </c>
    </row>
    <row r="66" spans="1:11" x14ac:dyDescent="0.45">
      <c r="A66" s="5">
        <v>65</v>
      </c>
      <c r="B66" s="6" t="s">
        <v>161</v>
      </c>
      <c r="C66" s="6" t="s">
        <v>162</v>
      </c>
      <c r="D66" s="6" t="s">
        <v>16</v>
      </c>
      <c r="E66" s="6" t="s">
        <v>29</v>
      </c>
      <c r="F66" s="7">
        <v>43444</v>
      </c>
      <c r="G66" s="6" t="s">
        <v>13</v>
      </c>
      <c r="H66" s="27">
        <v>51400</v>
      </c>
      <c r="I66" s="6">
        <v>33.9</v>
      </c>
      <c r="J66" s="8">
        <v>8</v>
      </c>
      <c r="K66" s="8">
        <f t="shared" ca="1" si="0"/>
        <v>0</v>
      </c>
    </row>
    <row r="67" spans="1:11" x14ac:dyDescent="0.45">
      <c r="A67" s="5">
        <v>66</v>
      </c>
      <c r="B67" s="6" t="s">
        <v>163</v>
      </c>
      <c r="C67" s="6" t="s">
        <v>164</v>
      </c>
      <c r="D67" s="6" t="s">
        <v>11</v>
      </c>
      <c r="E67" s="6" t="s">
        <v>21</v>
      </c>
      <c r="F67" s="7">
        <v>43731</v>
      </c>
      <c r="G67" s="6" t="s">
        <v>25</v>
      </c>
      <c r="H67" s="27">
        <v>63100</v>
      </c>
      <c r="I67" s="6">
        <v>30.2</v>
      </c>
      <c r="J67" s="8">
        <v>21</v>
      </c>
      <c r="K67" s="8">
        <f t="shared" ref="K67:K130" ca="1" si="1">IF(K67&lt;5,"Low",IF(K67&lt;=10,"Medium","High"))</f>
        <v>0</v>
      </c>
    </row>
    <row r="68" spans="1:11" x14ac:dyDescent="0.45">
      <c r="A68" s="5">
        <v>67</v>
      </c>
      <c r="B68" s="6" t="s">
        <v>165</v>
      </c>
      <c r="C68" s="6" t="s">
        <v>166</v>
      </c>
      <c r="D68" s="6" t="s">
        <v>16</v>
      </c>
      <c r="E68" s="6" t="s">
        <v>12</v>
      </c>
      <c r="F68" s="7">
        <v>44607</v>
      </c>
      <c r="G68" s="6" t="s">
        <v>30</v>
      </c>
      <c r="H68" s="27">
        <v>76300</v>
      </c>
      <c r="I68" s="6">
        <v>65.400000000000006</v>
      </c>
      <c r="J68" s="8">
        <v>16</v>
      </c>
      <c r="K68" s="8">
        <f t="shared" ca="1" si="1"/>
        <v>0</v>
      </c>
    </row>
    <row r="69" spans="1:11" x14ac:dyDescent="0.45">
      <c r="A69" s="5">
        <v>68</v>
      </c>
      <c r="B69" s="6" t="s">
        <v>120</v>
      </c>
      <c r="C69" s="6" t="s">
        <v>167</v>
      </c>
      <c r="D69" s="6" t="s">
        <v>16</v>
      </c>
      <c r="E69" s="6" t="s">
        <v>17</v>
      </c>
      <c r="F69" s="7">
        <v>44376</v>
      </c>
      <c r="G69" s="6" t="s">
        <v>33</v>
      </c>
      <c r="H69" s="27">
        <v>47800</v>
      </c>
      <c r="I69" s="6">
        <v>27.7</v>
      </c>
      <c r="J69" s="8">
        <v>19</v>
      </c>
      <c r="K69" s="8">
        <f t="shared" ca="1" si="1"/>
        <v>0</v>
      </c>
    </row>
    <row r="70" spans="1:11" x14ac:dyDescent="0.45">
      <c r="A70" s="5">
        <v>69</v>
      </c>
      <c r="B70" s="6" t="s">
        <v>169</v>
      </c>
      <c r="C70" s="6" t="s">
        <v>170</v>
      </c>
      <c r="D70" s="6" t="s">
        <v>11</v>
      </c>
      <c r="E70" s="6" t="s">
        <v>12</v>
      </c>
      <c r="F70" s="7">
        <v>43912</v>
      </c>
      <c r="G70" s="6" t="s">
        <v>39</v>
      </c>
      <c r="H70" s="27">
        <v>41500</v>
      </c>
      <c r="I70" s="6">
        <v>33.4</v>
      </c>
      <c r="J70" s="8">
        <v>13</v>
      </c>
      <c r="K70" s="8">
        <f t="shared" ca="1" si="1"/>
        <v>0</v>
      </c>
    </row>
    <row r="71" spans="1:11" x14ac:dyDescent="0.45">
      <c r="A71" s="5">
        <v>70</v>
      </c>
      <c r="B71" s="6" t="s">
        <v>171</v>
      </c>
      <c r="C71" s="6" t="s">
        <v>172</v>
      </c>
      <c r="D71" s="6" t="s">
        <v>16</v>
      </c>
      <c r="E71" s="6" t="s">
        <v>21</v>
      </c>
      <c r="F71" s="7">
        <v>44938</v>
      </c>
      <c r="G71" s="6" t="s">
        <v>22</v>
      </c>
      <c r="H71" s="27">
        <v>33600</v>
      </c>
      <c r="I71" s="6">
        <v>46</v>
      </c>
      <c r="J71" s="8">
        <v>16</v>
      </c>
      <c r="K71" s="8">
        <f t="shared" ca="1" si="1"/>
        <v>0</v>
      </c>
    </row>
    <row r="72" spans="1:11" x14ac:dyDescent="0.45">
      <c r="A72" s="5">
        <v>71</v>
      </c>
      <c r="B72" s="6" t="s">
        <v>173</v>
      </c>
      <c r="C72" s="6" t="s">
        <v>174</v>
      </c>
      <c r="D72" s="6" t="s">
        <v>11</v>
      </c>
      <c r="E72" s="6" t="s">
        <v>17</v>
      </c>
      <c r="F72" s="7">
        <v>43621</v>
      </c>
      <c r="G72" s="6" t="s">
        <v>18</v>
      </c>
      <c r="H72" s="27">
        <v>37000</v>
      </c>
      <c r="I72" s="6">
        <v>33</v>
      </c>
      <c r="J72" s="8">
        <v>17</v>
      </c>
      <c r="K72" s="8">
        <f t="shared" ca="1" si="1"/>
        <v>0</v>
      </c>
    </row>
    <row r="73" spans="1:11" x14ac:dyDescent="0.45">
      <c r="A73" s="5">
        <v>72</v>
      </c>
      <c r="B73" s="6" t="s">
        <v>175</v>
      </c>
      <c r="C73" s="6" t="s">
        <v>176</v>
      </c>
      <c r="D73" s="6" t="s">
        <v>16</v>
      </c>
      <c r="E73" s="6" t="s">
        <v>12</v>
      </c>
      <c r="F73" s="7">
        <v>43371</v>
      </c>
      <c r="G73" s="6" t="s">
        <v>42</v>
      </c>
      <c r="H73" s="27">
        <v>56700</v>
      </c>
      <c r="I73" s="6">
        <v>35</v>
      </c>
      <c r="J73" s="8">
        <v>14</v>
      </c>
      <c r="K73" s="8">
        <f t="shared" ca="1" si="1"/>
        <v>0</v>
      </c>
    </row>
    <row r="74" spans="1:11" x14ac:dyDescent="0.45">
      <c r="A74" s="5">
        <v>73</v>
      </c>
      <c r="B74" s="6" t="s">
        <v>177</v>
      </c>
      <c r="C74" s="6" t="s">
        <v>178</v>
      </c>
      <c r="D74" s="6" t="s">
        <v>11</v>
      </c>
      <c r="E74" s="6" t="s">
        <v>29</v>
      </c>
      <c r="F74" s="7">
        <v>42836</v>
      </c>
      <c r="G74" s="6" t="s">
        <v>45</v>
      </c>
      <c r="H74" s="27">
        <v>84700</v>
      </c>
      <c r="I74" s="6">
        <v>34.799999999999997</v>
      </c>
      <c r="J74" s="8">
        <v>20</v>
      </c>
      <c r="K74" s="8">
        <f t="shared" ca="1" si="1"/>
        <v>0</v>
      </c>
    </row>
    <row r="75" spans="1:11" x14ac:dyDescent="0.45">
      <c r="A75" s="5">
        <v>74</v>
      </c>
      <c r="B75" s="6" t="s">
        <v>179</v>
      </c>
      <c r="C75" s="6" t="s">
        <v>180</v>
      </c>
      <c r="D75" s="6" t="s">
        <v>16</v>
      </c>
      <c r="E75" s="6" t="s">
        <v>21</v>
      </c>
      <c r="F75" s="7">
        <v>44983</v>
      </c>
      <c r="G75" s="6" t="s">
        <v>13</v>
      </c>
      <c r="H75" s="27">
        <v>51300</v>
      </c>
      <c r="I75" s="6">
        <v>36.299999999999997</v>
      </c>
      <c r="J75" s="8">
        <v>14</v>
      </c>
      <c r="K75" s="8">
        <f t="shared" ca="1" si="1"/>
        <v>0</v>
      </c>
    </row>
    <row r="76" spans="1:11" x14ac:dyDescent="0.45">
      <c r="A76" s="5">
        <v>75</v>
      </c>
      <c r="B76" s="6" t="s">
        <v>181</v>
      </c>
      <c r="C76" s="6" t="s">
        <v>182</v>
      </c>
      <c r="D76" s="6" t="s">
        <v>16</v>
      </c>
      <c r="E76" s="6" t="s">
        <v>17</v>
      </c>
      <c r="F76" s="7">
        <v>44027</v>
      </c>
      <c r="G76" s="6" t="s">
        <v>56</v>
      </c>
      <c r="H76" s="27">
        <v>74800</v>
      </c>
      <c r="I76" s="6">
        <v>31.2</v>
      </c>
      <c r="J76" s="8">
        <v>20</v>
      </c>
      <c r="K76" s="8">
        <f t="shared" ca="1" si="1"/>
        <v>0</v>
      </c>
    </row>
    <row r="77" spans="1:11" x14ac:dyDescent="0.45">
      <c r="A77" s="5">
        <v>76</v>
      </c>
      <c r="B77" s="6" t="s">
        <v>183</v>
      </c>
      <c r="C77" s="6" t="s">
        <v>184</v>
      </c>
      <c r="D77" s="6" t="s">
        <v>11</v>
      </c>
      <c r="E77" s="6" t="s">
        <v>12</v>
      </c>
      <c r="F77" s="7">
        <v>43766</v>
      </c>
      <c r="G77" s="6" t="s">
        <v>30</v>
      </c>
      <c r="H77" s="27">
        <v>78400</v>
      </c>
      <c r="I77" s="6">
        <v>31</v>
      </c>
      <c r="J77" s="8">
        <v>22</v>
      </c>
      <c r="K77" s="8">
        <f t="shared" ca="1" si="1"/>
        <v>0</v>
      </c>
    </row>
    <row r="78" spans="1:11" x14ac:dyDescent="0.45">
      <c r="A78" s="5">
        <v>77</v>
      </c>
      <c r="B78" s="6" t="s">
        <v>185</v>
      </c>
      <c r="C78" s="6" t="s">
        <v>186</v>
      </c>
      <c r="D78" s="6" t="s">
        <v>16</v>
      </c>
      <c r="E78" s="6" t="s">
        <v>21</v>
      </c>
      <c r="F78" s="7">
        <v>44664</v>
      </c>
      <c r="G78" s="6" t="s">
        <v>33</v>
      </c>
      <c r="H78" s="27">
        <v>48300</v>
      </c>
      <c r="I78" s="6">
        <v>27.7</v>
      </c>
      <c r="J78" s="8">
        <v>20</v>
      </c>
      <c r="K78" s="8">
        <f t="shared" ca="1" si="1"/>
        <v>0</v>
      </c>
    </row>
    <row r="79" spans="1:11" x14ac:dyDescent="0.45">
      <c r="A79" s="5">
        <v>78</v>
      </c>
      <c r="B79" s="6" t="s">
        <v>187</v>
      </c>
      <c r="C79" s="6" t="s">
        <v>188</v>
      </c>
      <c r="D79" s="6" t="s">
        <v>16</v>
      </c>
      <c r="E79" s="6" t="s">
        <v>17</v>
      </c>
      <c r="F79" s="7">
        <v>44344</v>
      </c>
      <c r="G79" s="6" t="s">
        <v>39</v>
      </c>
      <c r="H79" s="27">
        <v>42100</v>
      </c>
      <c r="I79" s="6">
        <v>35.9</v>
      </c>
      <c r="J79" s="8">
        <v>16</v>
      </c>
      <c r="K79" s="8">
        <f t="shared" ca="1" si="1"/>
        <v>0</v>
      </c>
    </row>
    <row r="80" spans="1:11" x14ac:dyDescent="0.45">
      <c r="A80" s="5">
        <v>79</v>
      </c>
      <c r="B80" s="6" t="s">
        <v>189</v>
      </c>
      <c r="C80" s="6" t="s">
        <v>190</v>
      </c>
      <c r="D80" s="6" t="s">
        <v>16</v>
      </c>
      <c r="E80" s="6" t="s">
        <v>12</v>
      </c>
      <c r="F80" s="7">
        <v>44003</v>
      </c>
      <c r="G80" s="6" t="s">
        <v>22</v>
      </c>
      <c r="H80" s="27">
        <v>36000</v>
      </c>
      <c r="I80" s="6">
        <v>31.6</v>
      </c>
      <c r="J80" s="8">
        <v>17</v>
      </c>
      <c r="K80" s="8">
        <f t="shared" ca="1" si="1"/>
        <v>0</v>
      </c>
    </row>
    <row r="81" spans="1:11" x14ac:dyDescent="0.45">
      <c r="A81" s="5">
        <v>80</v>
      </c>
      <c r="B81" s="6" t="s">
        <v>191</v>
      </c>
      <c r="C81" s="6" t="s">
        <v>192</v>
      </c>
      <c r="D81" s="6" t="s">
        <v>11</v>
      </c>
      <c r="E81" s="6" t="s">
        <v>29</v>
      </c>
      <c r="F81" s="7">
        <v>43347</v>
      </c>
      <c r="G81" s="6" t="s">
        <v>18</v>
      </c>
      <c r="H81" s="27">
        <v>37700</v>
      </c>
      <c r="I81" s="6">
        <v>34.799999999999997</v>
      </c>
      <c r="J81" s="8">
        <v>20</v>
      </c>
      <c r="K81" s="8">
        <f t="shared" ca="1" si="1"/>
        <v>0</v>
      </c>
    </row>
    <row r="82" spans="1:11" x14ac:dyDescent="0.45">
      <c r="A82" s="5">
        <v>81</v>
      </c>
      <c r="B82" s="6" t="s">
        <v>194</v>
      </c>
      <c r="C82" s="6" t="s">
        <v>195</v>
      </c>
      <c r="D82" s="6" t="s">
        <v>16</v>
      </c>
      <c r="E82" s="6" t="s">
        <v>21</v>
      </c>
      <c r="F82" s="7">
        <v>43697</v>
      </c>
      <c r="G82" s="6" t="s">
        <v>42</v>
      </c>
      <c r="H82" s="27">
        <v>56900</v>
      </c>
      <c r="I82" s="6">
        <v>30.5</v>
      </c>
      <c r="J82" s="8">
        <v>12</v>
      </c>
      <c r="K82" s="8">
        <f t="shared" ca="1" si="1"/>
        <v>0</v>
      </c>
    </row>
    <row r="83" spans="1:11" x14ac:dyDescent="0.45">
      <c r="A83" s="5">
        <v>82</v>
      </c>
      <c r="B83" s="6" t="s">
        <v>196</v>
      </c>
      <c r="C83" s="6" t="s">
        <v>197</v>
      </c>
      <c r="D83" s="6" t="s">
        <v>16</v>
      </c>
      <c r="E83" s="6" t="s">
        <v>17</v>
      </c>
      <c r="F83" s="7">
        <v>44629</v>
      </c>
      <c r="G83" s="6" t="s">
        <v>45</v>
      </c>
      <c r="H83" s="27">
        <v>81600</v>
      </c>
      <c r="I83" s="6">
        <v>61.7</v>
      </c>
      <c r="J83" s="8">
        <v>6</v>
      </c>
      <c r="K83" s="8">
        <f t="shared" ca="1" si="1"/>
        <v>0</v>
      </c>
    </row>
    <row r="84" spans="1:11" x14ac:dyDescent="0.45">
      <c r="A84" s="5">
        <v>83</v>
      </c>
      <c r="B84" s="6" t="s">
        <v>198</v>
      </c>
      <c r="C84" s="6" t="s">
        <v>199</v>
      </c>
      <c r="D84" s="6" t="s">
        <v>11</v>
      </c>
      <c r="E84" s="6" t="s">
        <v>12</v>
      </c>
      <c r="F84" s="7">
        <v>44552</v>
      </c>
      <c r="G84" s="6" t="s">
        <v>13</v>
      </c>
      <c r="H84" s="27">
        <v>51200</v>
      </c>
      <c r="I84" s="6">
        <v>42.6</v>
      </c>
      <c r="J84" s="8">
        <v>22</v>
      </c>
      <c r="K84" s="8">
        <f t="shared" ca="1" si="1"/>
        <v>0</v>
      </c>
    </row>
    <row r="85" spans="1:11" x14ac:dyDescent="0.45">
      <c r="A85" s="5">
        <v>84</v>
      </c>
      <c r="B85" s="6" t="s">
        <v>200</v>
      </c>
      <c r="C85" s="6" t="s">
        <v>201</v>
      </c>
      <c r="D85" s="6" t="s">
        <v>16</v>
      </c>
      <c r="E85" s="6" t="s">
        <v>29</v>
      </c>
      <c r="F85" s="7">
        <v>43661</v>
      </c>
      <c r="G85" s="6" t="s">
        <v>25</v>
      </c>
      <c r="H85" s="27">
        <v>61400</v>
      </c>
      <c r="I85" s="6">
        <v>31</v>
      </c>
      <c r="J85" s="8">
        <v>15</v>
      </c>
      <c r="K85" s="8">
        <f t="shared" ca="1" si="1"/>
        <v>0</v>
      </c>
    </row>
    <row r="86" spans="1:11" x14ac:dyDescent="0.45">
      <c r="A86" s="5">
        <v>85</v>
      </c>
      <c r="B86" s="6" t="s">
        <v>202</v>
      </c>
      <c r="C86" s="6" t="s">
        <v>203</v>
      </c>
      <c r="D86" s="6" t="s">
        <v>11</v>
      </c>
      <c r="E86" s="6" t="s">
        <v>21</v>
      </c>
      <c r="F86" s="7">
        <v>45043</v>
      </c>
      <c r="G86" s="6" t="s">
        <v>30</v>
      </c>
      <c r="H86" s="27">
        <v>76700</v>
      </c>
      <c r="I86" s="6">
        <v>31.4</v>
      </c>
      <c r="J86" s="8">
        <v>16</v>
      </c>
      <c r="K86" s="8">
        <f t="shared" ca="1" si="1"/>
        <v>0</v>
      </c>
    </row>
    <row r="87" spans="1:11" x14ac:dyDescent="0.45">
      <c r="A87" s="5">
        <v>86</v>
      </c>
      <c r="B87" s="6" t="s">
        <v>204</v>
      </c>
      <c r="C87" s="6" t="s">
        <v>205</v>
      </c>
      <c r="D87" s="6" t="s">
        <v>16</v>
      </c>
      <c r="E87" s="6" t="s">
        <v>17</v>
      </c>
      <c r="F87" s="7">
        <v>43961</v>
      </c>
      <c r="G87" s="6" t="s">
        <v>33</v>
      </c>
      <c r="H87" s="27">
        <v>49800</v>
      </c>
      <c r="I87" s="6">
        <v>50.3</v>
      </c>
      <c r="J87" s="8">
        <v>15</v>
      </c>
      <c r="K87" s="8">
        <f t="shared" ca="1" si="1"/>
        <v>0</v>
      </c>
    </row>
    <row r="88" spans="1:11" x14ac:dyDescent="0.45">
      <c r="A88" s="5">
        <v>87</v>
      </c>
      <c r="B88" s="6" t="s">
        <v>206</v>
      </c>
      <c r="C88" s="6" t="s">
        <v>207</v>
      </c>
      <c r="D88" s="6" t="s">
        <v>11</v>
      </c>
      <c r="E88" s="6" t="s">
        <v>12</v>
      </c>
      <c r="F88" s="7">
        <v>44230</v>
      </c>
      <c r="G88" s="6" t="s">
        <v>39</v>
      </c>
      <c r="H88" s="27">
        <v>43000</v>
      </c>
      <c r="I88" s="6">
        <v>60.8</v>
      </c>
      <c r="J88" s="8">
        <v>24</v>
      </c>
      <c r="K88" s="8">
        <f t="shared" ca="1" si="1"/>
        <v>0</v>
      </c>
    </row>
    <row r="89" spans="1:11" x14ac:dyDescent="0.45">
      <c r="A89" s="5">
        <v>88</v>
      </c>
      <c r="B89" s="6" t="s">
        <v>208</v>
      </c>
      <c r="C89" s="6" t="s">
        <v>209</v>
      </c>
      <c r="D89" s="6" t="s">
        <v>16</v>
      </c>
      <c r="E89" s="6" t="s">
        <v>21</v>
      </c>
      <c r="F89" s="7">
        <v>44700</v>
      </c>
      <c r="G89" s="6" t="s">
        <v>22</v>
      </c>
      <c r="H89" s="27">
        <v>36200</v>
      </c>
      <c r="I89" s="6">
        <v>39.799999999999997</v>
      </c>
      <c r="J89" s="8">
        <v>14</v>
      </c>
      <c r="K89" s="8">
        <f t="shared" ca="1" si="1"/>
        <v>0</v>
      </c>
    </row>
    <row r="90" spans="1:11" x14ac:dyDescent="0.45">
      <c r="A90" s="5">
        <v>89</v>
      </c>
      <c r="B90" s="6" t="s">
        <v>210</v>
      </c>
      <c r="C90" s="6" t="s">
        <v>211</v>
      </c>
      <c r="D90" s="6" t="s">
        <v>11</v>
      </c>
      <c r="E90" s="6" t="s">
        <v>17</v>
      </c>
      <c r="F90" s="7">
        <v>43691</v>
      </c>
      <c r="G90" s="6" t="s">
        <v>18</v>
      </c>
      <c r="H90" s="27">
        <v>36400</v>
      </c>
      <c r="I90" s="6">
        <v>38.299999999999997</v>
      </c>
      <c r="J90" s="8">
        <v>20</v>
      </c>
      <c r="K90" s="8">
        <f t="shared" ca="1" si="1"/>
        <v>0</v>
      </c>
    </row>
    <row r="91" spans="1:11" x14ac:dyDescent="0.45">
      <c r="A91" s="5">
        <v>90</v>
      </c>
      <c r="B91" s="6" t="s">
        <v>212</v>
      </c>
      <c r="C91" s="6" t="s">
        <v>213</v>
      </c>
      <c r="D91" s="6" t="s">
        <v>16</v>
      </c>
      <c r="E91" s="6" t="s">
        <v>12</v>
      </c>
      <c r="F91" s="7">
        <v>43431</v>
      </c>
      <c r="G91" s="6" t="s">
        <v>13</v>
      </c>
      <c r="H91" s="27">
        <v>54900</v>
      </c>
      <c r="I91" s="6">
        <v>31.6</v>
      </c>
      <c r="J91" s="8">
        <v>17</v>
      </c>
      <c r="K91" s="8">
        <f t="shared" ca="1" si="1"/>
        <v>0</v>
      </c>
    </row>
    <row r="92" spans="1:11" x14ac:dyDescent="0.45">
      <c r="A92" s="5">
        <v>91</v>
      </c>
      <c r="B92" s="6" t="s">
        <v>214</v>
      </c>
      <c r="C92" s="6" t="s">
        <v>215</v>
      </c>
      <c r="D92" s="6" t="s">
        <v>11</v>
      </c>
      <c r="E92" s="6" t="s">
        <v>29</v>
      </c>
      <c r="F92" s="7">
        <v>42896</v>
      </c>
      <c r="G92" s="6" t="s">
        <v>56</v>
      </c>
      <c r="H92" s="27">
        <v>74200</v>
      </c>
      <c r="I92" s="6">
        <v>30.7</v>
      </c>
      <c r="J92" s="8">
        <v>17</v>
      </c>
      <c r="K92" s="8">
        <f t="shared" ca="1" si="1"/>
        <v>0</v>
      </c>
    </row>
    <row r="93" spans="1:11" x14ac:dyDescent="0.45">
      <c r="A93" s="5">
        <v>92</v>
      </c>
      <c r="B93" s="6" t="s">
        <v>216</v>
      </c>
      <c r="C93" s="6" t="s">
        <v>217</v>
      </c>
      <c r="D93" s="6" t="s">
        <v>11</v>
      </c>
      <c r="E93" s="6" t="s">
        <v>21</v>
      </c>
      <c r="F93" s="7">
        <v>45004</v>
      </c>
      <c r="G93" s="6" t="s">
        <v>42</v>
      </c>
      <c r="H93" s="27">
        <v>58700</v>
      </c>
      <c r="I93" s="6">
        <v>47.3</v>
      </c>
      <c r="J93" s="8">
        <v>6</v>
      </c>
      <c r="K93" s="8">
        <f t="shared" ca="1" si="1"/>
        <v>0</v>
      </c>
    </row>
    <row r="94" spans="1:11" x14ac:dyDescent="0.45">
      <c r="A94" s="5">
        <v>93</v>
      </c>
      <c r="B94" s="6" t="s">
        <v>218</v>
      </c>
      <c r="C94" s="6" t="s">
        <v>219</v>
      </c>
      <c r="D94" s="6" t="s">
        <v>16</v>
      </c>
      <c r="E94" s="6" t="s">
        <v>17</v>
      </c>
      <c r="F94" s="7">
        <v>44076</v>
      </c>
      <c r="G94" s="6" t="s">
        <v>45</v>
      </c>
      <c r="H94" s="27">
        <v>81100</v>
      </c>
      <c r="I94" s="6">
        <v>34.6</v>
      </c>
      <c r="J94" s="8">
        <v>16</v>
      </c>
      <c r="K94" s="8">
        <f t="shared" ca="1" si="1"/>
        <v>0</v>
      </c>
    </row>
    <row r="95" spans="1:11" x14ac:dyDescent="0.45">
      <c r="A95" s="5">
        <v>94</v>
      </c>
      <c r="B95" s="6" t="s">
        <v>38</v>
      </c>
      <c r="C95" s="6" t="s">
        <v>220</v>
      </c>
      <c r="D95" s="6" t="s">
        <v>16</v>
      </c>
      <c r="E95" s="6" t="s">
        <v>12</v>
      </c>
      <c r="F95" s="7">
        <v>43663</v>
      </c>
      <c r="G95" s="6" t="s">
        <v>18</v>
      </c>
      <c r="H95" s="27">
        <v>38300</v>
      </c>
      <c r="I95" s="6">
        <v>33.700000000000003</v>
      </c>
      <c r="J95" s="8">
        <v>14</v>
      </c>
      <c r="K95" s="8">
        <f t="shared" ca="1" si="1"/>
        <v>0</v>
      </c>
    </row>
    <row r="96" spans="1:11" x14ac:dyDescent="0.45">
      <c r="A96" s="5">
        <v>95</v>
      </c>
      <c r="B96" s="6" t="s">
        <v>221</v>
      </c>
      <c r="C96" s="6" t="s">
        <v>222</v>
      </c>
      <c r="D96" s="6" t="s">
        <v>11</v>
      </c>
      <c r="E96" s="6" t="s">
        <v>29</v>
      </c>
      <c r="F96" s="7">
        <v>43444</v>
      </c>
      <c r="G96" s="6" t="s">
        <v>13</v>
      </c>
      <c r="H96" s="27">
        <v>51100</v>
      </c>
      <c r="I96" s="6">
        <v>36.200000000000003</v>
      </c>
      <c r="J96" s="8">
        <v>15</v>
      </c>
      <c r="K96" s="8">
        <f t="shared" ca="1" si="1"/>
        <v>0</v>
      </c>
    </row>
    <row r="97" spans="1:11" x14ac:dyDescent="0.45">
      <c r="A97" s="5">
        <v>96</v>
      </c>
      <c r="B97" s="6" t="s">
        <v>223</v>
      </c>
      <c r="C97" s="6" t="s">
        <v>224</v>
      </c>
      <c r="D97" s="6" t="s">
        <v>16</v>
      </c>
      <c r="E97" s="6" t="s">
        <v>21</v>
      </c>
      <c r="F97" s="7">
        <v>45050</v>
      </c>
      <c r="G97" s="6" t="s">
        <v>25</v>
      </c>
      <c r="H97" s="27">
        <v>63500</v>
      </c>
      <c r="I97" s="6">
        <v>28.5</v>
      </c>
      <c r="J97" s="8">
        <v>20</v>
      </c>
      <c r="K97" s="8">
        <f t="shared" ca="1" si="1"/>
        <v>0</v>
      </c>
    </row>
    <row r="98" spans="1:11" x14ac:dyDescent="0.45">
      <c r="A98" s="5">
        <v>97</v>
      </c>
      <c r="B98" s="6" t="s">
        <v>225</v>
      </c>
      <c r="C98" s="6" t="s">
        <v>226</v>
      </c>
      <c r="D98" s="6" t="s">
        <v>16</v>
      </c>
      <c r="E98" s="6" t="s">
        <v>12</v>
      </c>
      <c r="F98" s="7">
        <v>44497</v>
      </c>
      <c r="G98" s="6" t="s">
        <v>30</v>
      </c>
      <c r="H98" s="27">
        <v>78900</v>
      </c>
      <c r="I98" s="6">
        <v>30.3</v>
      </c>
      <c r="J98" s="8">
        <v>17</v>
      </c>
      <c r="K98" s="8">
        <f t="shared" ca="1" si="1"/>
        <v>0</v>
      </c>
    </row>
    <row r="99" spans="1:11" x14ac:dyDescent="0.45">
      <c r="A99" s="5">
        <v>98</v>
      </c>
      <c r="B99" s="6" t="s">
        <v>227</v>
      </c>
      <c r="C99" s="6" t="s">
        <v>228</v>
      </c>
      <c r="D99" s="6" t="s">
        <v>16</v>
      </c>
      <c r="E99" s="6" t="s">
        <v>17</v>
      </c>
      <c r="F99" s="7">
        <v>43873</v>
      </c>
      <c r="G99" s="6" t="s">
        <v>33</v>
      </c>
      <c r="H99" s="27">
        <v>46000</v>
      </c>
      <c r="I99" s="6">
        <v>38</v>
      </c>
      <c r="J99" s="8">
        <v>21</v>
      </c>
      <c r="K99" s="8">
        <f t="shared" ca="1" si="1"/>
        <v>0</v>
      </c>
    </row>
    <row r="100" spans="1:11" x14ac:dyDescent="0.45">
      <c r="A100" s="5">
        <v>99</v>
      </c>
      <c r="B100" s="6" t="s">
        <v>229</v>
      </c>
      <c r="C100" s="6" t="s">
        <v>230</v>
      </c>
      <c r="D100" s="6" t="s">
        <v>11</v>
      </c>
      <c r="E100" s="6" t="s">
        <v>12</v>
      </c>
      <c r="F100" s="7">
        <v>43612</v>
      </c>
      <c r="G100" s="6" t="s">
        <v>39</v>
      </c>
      <c r="H100" s="27">
        <v>44400</v>
      </c>
      <c r="I100" s="6">
        <v>35.1</v>
      </c>
      <c r="J100" s="8">
        <v>16</v>
      </c>
      <c r="K100" s="8">
        <f t="shared" ca="1" si="1"/>
        <v>0</v>
      </c>
    </row>
    <row r="101" spans="1:11" x14ac:dyDescent="0.45">
      <c r="A101" s="5">
        <v>100</v>
      </c>
      <c r="B101" s="6" t="s">
        <v>231</v>
      </c>
      <c r="C101" s="6" t="s">
        <v>232</v>
      </c>
      <c r="D101" s="6" t="s">
        <v>16</v>
      </c>
      <c r="E101" s="6" t="s">
        <v>21</v>
      </c>
      <c r="F101" s="7">
        <v>44907</v>
      </c>
      <c r="G101" s="6" t="s">
        <v>22</v>
      </c>
      <c r="H101" s="27">
        <v>36200</v>
      </c>
      <c r="I101" s="6">
        <v>39.5</v>
      </c>
      <c r="J101" s="8">
        <v>24</v>
      </c>
      <c r="K101" s="8">
        <f t="shared" ca="1" si="1"/>
        <v>0</v>
      </c>
    </row>
    <row r="102" spans="1:11" x14ac:dyDescent="0.45">
      <c r="A102" s="5">
        <v>101</v>
      </c>
      <c r="B102" s="6" t="s">
        <v>151</v>
      </c>
      <c r="C102" s="6" t="s">
        <v>233</v>
      </c>
      <c r="D102" s="6" t="s">
        <v>16</v>
      </c>
      <c r="E102" s="6" t="s">
        <v>17</v>
      </c>
      <c r="F102" s="7">
        <v>44312</v>
      </c>
      <c r="G102" s="6" t="s">
        <v>18</v>
      </c>
      <c r="H102" s="27">
        <v>38800</v>
      </c>
      <c r="I102" s="6">
        <v>31.9</v>
      </c>
      <c r="J102" s="8">
        <v>20</v>
      </c>
      <c r="K102" s="8">
        <f t="shared" ca="1" si="1"/>
        <v>0</v>
      </c>
    </row>
    <row r="103" spans="1:11" x14ac:dyDescent="0.45">
      <c r="A103" s="5">
        <v>102</v>
      </c>
      <c r="B103" s="6" t="s">
        <v>234</v>
      </c>
      <c r="C103" s="6" t="s">
        <v>235</v>
      </c>
      <c r="D103" s="6" t="s">
        <v>11</v>
      </c>
      <c r="E103" s="6" t="s">
        <v>12</v>
      </c>
      <c r="F103" s="7">
        <v>43352</v>
      </c>
      <c r="G103" s="6" t="s">
        <v>42</v>
      </c>
      <c r="H103" s="27">
        <v>57800</v>
      </c>
      <c r="I103" s="6">
        <v>36.6</v>
      </c>
      <c r="J103" s="8">
        <v>15</v>
      </c>
      <c r="K103" s="8">
        <f t="shared" ca="1" si="1"/>
        <v>0</v>
      </c>
    </row>
    <row r="104" spans="1:11" x14ac:dyDescent="0.45">
      <c r="A104" s="5">
        <v>103</v>
      </c>
      <c r="B104" s="6" t="s">
        <v>156</v>
      </c>
      <c r="C104" s="6" t="s">
        <v>236</v>
      </c>
      <c r="D104" s="6" t="s">
        <v>11</v>
      </c>
      <c r="E104" s="6" t="s">
        <v>29</v>
      </c>
      <c r="F104" s="7">
        <v>43039</v>
      </c>
      <c r="G104" s="6" t="s">
        <v>45</v>
      </c>
      <c r="H104" s="27">
        <v>82800</v>
      </c>
      <c r="I104" s="6">
        <v>51.8</v>
      </c>
      <c r="J104" s="8">
        <v>20</v>
      </c>
      <c r="K104" s="8">
        <f t="shared" ca="1" si="1"/>
        <v>0</v>
      </c>
    </row>
    <row r="105" spans="1:11" x14ac:dyDescent="0.45">
      <c r="A105" s="5">
        <v>104</v>
      </c>
      <c r="B105" s="6" t="s">
        <v>237</v>
      </c>
      <c r="C105" s="6" t="s">
        <v>238</v>
      </c>
      <c r="D105" s="6" t="s">
        <v>16</v>
      </c>
      <c r="E105" s="6" t="s">
        <v>21</v>
      </c>
      <c r="F105" s="7">
        <v>44941</v>
      </c>
      <c r="G105" s="6" t="s">
        <v>13</v>
      </c>
      <c r="H105" s="27">
        <v>53900</v>
      </c>
      <c r="I105" s="6">
        <v>35.6</v>
      </c>
      <c r="J105" s="8">
        <v>15</v>
      </c>
      <c r="K105" s="8">
        <f t="shared" ca="1" si="1"/>
        <v>0</v>
      </c>
    </row>
    <row r="106" spans="1:11" x14ac:dyDescent="0.45">
      <c r="A106" s="5">
        <v>105</v>
      </c>
      <c r="B106" s="6" t="s">
        <v>239</v>
      </c>
      <c r="C106" s="6" t="s">
        <v>240</v>
      </c>
      <c r="D106" s="6" t="s">
        <v>11</v>
      </c>
      <c r="E106" s="6" t="s">
        <v>17</v>
      </c>
      <c r="F106" s="7">
        <v>44010</v>
      </c>
      <c r="G106" s="6" t="s">
        <v>56</v>
      </c>
      <c r="H106" s="27">
        <v>73900</v>
      </c>
      <c r="I106" s="6">
        <v>30.1</v>
      </c>
      <c r="J106" s="8">
        <v>12</v>
      </c>
      <c r="K106" s="8">
        <f t="shared" ca="1" si="1"/>
        <v>0</v>
      </c>
    </row>
    <row r="107" spans="1:11" x14ac:dyDescent="0.45">
      <c r="A107" s="5">
        <v>106</v>
      </c>
      <c r="B107" s="6" t="s">
        <v>111</v>
      </c>
      <c r="C107" s="6" t="s">
        <v>241</v>
      </c>
      <c r="D107" s="6" t="s">
        <v>16</v>
      </c>
      <c r="E107" s="6" t="s">
        <v>12</v>
      </c>
      <c r="F107" s="7">
        <v>43719</v>
      </c>
      <c r="G107" s="6" t="s">
        <v>30</v>
      </c>
      <c r="H107" s="27">
        <v>76100</v>
      </c>
      <c r="I107" s="6">
        <v>28</v>
      </c>
      <c r="J107" s="8">
        <v>16</v>
      </c>
      <c r="K107" s="8">
        <f t="shared" ca="1" si="1"/>
        <v>0</v>
      </c>
    </row>
    <row r="108" spans="1:11" x14ac:dyDescent="0.45">
      <c r="A108" s="5">
        <v>107</v>
      </c>
      <c r="B108" s="6" t="s">
        <v>52</v>
      </c>
      <c r="C108" s="6" t="s">
        <v>242</v>
      </c>
      <c r="D108" s="6" t="s">
        <v>11</v>
      </c>
      <c r="E108" s="6" t="s">
        <v>21</v>
      </c>
      <c r="F108" s="7">
        <v>44624</v>
      </c>
      <c r="G108" s="6" t="s">
        <v>33</v>
      </c>
      <c r="H108" s="27">
        <v>45500</v>
      </c>
      <c r="I108" s="6">
        <v>29.3</v>
      </c>
      <c r="J108" s="8">
        <v>14</v>
      </c>
      <c r="K108" s="8">
        <f t="shared" ca="1" si="1"/>
        <v>0</v>
      </c>
    </row>
    <row r="109" spans="1:11" x14ac:dyDescent="0.45">
      <c r="A109" s="5">
        <v>108</v>
      </c>
      <c r="B109" s="6" t="s">
        <v>243</v>
      </c>
      <c r="C109" s="6" t="s">
        <v>244</v>
      </c>
      <c r="D109" s="6" t="s">
        <v>16</v>
      </c>
      <c r="E109" s="6" t="s">
        <v>17</v>
      </c>
      <c r="F109" s="7">
        <v>44364</v>
      </c>
      <c r="G109" s="6" t="s">
        <v>39</v>
      </c>
      <c r="H109" s="27">
        <v>44600</v>
      </c>
      <c r="I109" s="6">
        <v>36.799999999999997</v>
      </c>
      <c r="J109" s="8">
        <v>10</v>
      </c>
      <c r="K109" s="8">
        <f t="shared" ca="1" si="1"/>
        <v>0</v>
      </c>
    </row>
    <row r="110" spans="1:11" x14ac:dyDescent="0.45">
      <c r="A110" s="5">
        <v>109</v>
      </c>
      <c r="B110" s="6" t="s">
        <v>245</v>
      </c>
      <c r="C110" s="6" t="s">
        <v>246</v>
      </c>
      <c r="D110" s="6" t="s">
        <v>11</v>
      </c>
      <c r="E110" s="6" t="s">
        <v>12</v>
      </c>
      <c r="F110" s="7">
        <v>43434</v>
      </c>
      <c r="G110" s="6" t="s">
        <v>22</v>
      </c>
      <c r="H110" s="27">
        <v>36100</v>
      </c>
      <c r="I110" s="6">
        <v>27.2</v>
      </c>
      <c r="J110" s="8">
        <v>8</v>
      </c>
      <c r="K110" s="8">
        <f t="shared" ca="1" si="1"/>
        <v>0</v>
      </c>
    </row>
    <row r="111" spans="1:11" x14ac:dyDescent="0.45">
      <c r="A111" s="5">
        <v>110</v>
      </c>
      <c r="B111" s="6" t="s">
        <v>247</v>
      </c>
      <c r="C111" s="6" t="s">
        <v>248</v>
      </c>
      <c r="D111" s="6" t="s">
        <v>11</v>
      </c>
      <c r="E111" s="6" t="s">
        <v>29</v>
      </c>
      <c r="F111" s="7">
        <v>42939</v>
      </c>
      <c r="G111" s="6" t="s">
        <v>18</v>
      </c>
      <c r="H111" s="27">
        <v>35500</v>
      </c>
      <c r="I111" s="6">
        <v>29.6</v>
      </c>
      <c r="J111" s="8">
        <v>24</v>
      </c>
      <c r="K111" s="8">
        <f t="shared" ca="1" si="1"/>
        <v>0</v>
      </c>
    </row>
    <row r="112" spans="1:11" x14ac:dyDescent="0.45">
      <c r="A112" s="5">
        <v>111</v>
      </c>
      <c r="B112" s="6" t="s">
        <v>249</v>
      </c>
      <c r="C112" s="6" t="s">
        <v>250</v>
      </c>
      <c r="D112" s="6" t="s">
        <v>16</v>
      </c>
      <c r="E112" s="6" t="s">
        <v>21</v>
      </c>
      <c r="F112" s="7">
        <v>45057</v>
      </c>
      <c r="G112" s="6" t="s">
        <v>42</v>
      </c>
      <c r="H112" s="27">
        <v>58000</v>
      </c>
      <c r="I112" s="6">
        <v>33</v>
      </c>
      <c r="J112" s="8">
        <v>13</v>
      </c>
      <c r="K112" s="8">
        <f t="shared" ca="1" si="1"/>
        <v>0</v>
      </c>
    </row>
    <row r="113" spans="1:11" x14ac:dyDescent="0.45">
      <c r="A113" s="5">
        <v>112</v>
      </c>
      <c r="B113" s="6" t="s">
        <v>251</v>
      </c>
      <c r="C113" s="6" t="s">
        <v>252</v>
      </c>
      <c r="D113" s="6" t="s">
        <v>16</v>
      </c>
      <c r="E113" s="6" t="s">
        <v>17</v>
      </c>
      <c r="F113" s="7">
        <v>44128</v>
      </c>
      <c r="G113" s="6" t="s">
        <v>45</v>
      </c>
      <c r="H113" s="27">
        <v>81400</v>
      </c>
      <c r="I113" s="6">
        <v>35.200000000000003</v>
      </c>
      <c r="J113" s="8">
        <v>19</v>
      </c>
      <c r="K113" s="8">
        <f t="shared" ca="1" si="1"/>
        <v>0</v>
      </c>
    </row>
    <row r="114" spans="1:11" x14ac:dyDescent="0.45">
      <c r="A114" s="5">
        <v>113</v>
      </c>
      <c r="B114" s="6" t="s">
        <v>253</v>
      </c>
      <c r="C114" s="6" t="s">
        <v>254</v>
      </c>
      <c r="D114" s="6" t="s">
        <v>11</v>
      </c>
      <c r="E114" s="6" t="s">
        <v>12</v>
      </c>
      <c r="F114" s="7">
        <v>43570</v>
      </c>
      <c r="G114" s="6" t="s">
        <v>13</v>
      </c>
      <c r="H114" s="27">
        <v>51000</v>
      </c>
      <c r="I114" s="6">
        <v>34.799999999999997</v>
      </c>
      <c r="J114" s="8">
        <v>22</v>
      </c>
      <c r="K114" s="8">
        <f t="shared" ca="1" si="1"/>
        <v>0</v>
      </c>
    </row>
    <row r="115" spans="1:11" x14ac:dyDescent="0.45">
      <c r="A115" s="5">
        <v>114</v>
      </c>
      <c r="B115" s="6" t="s">
        <v>255</v>
      </c>
      <c r="C115" s="6" t="s">
        <v>256</v>
      </c>
      <c r="D115" s="6" t="s">
        <v>16</v>
      </c>
      <c r="E115" s="6" t="s">
        <v>29</v>
      </c>
      <c r="F115" s="7">
        <v>43351</v>
      </c>
      <c r="G115" s="6" t="s">
        <v>25</v>
      </c>
      <c r="H115" s="27">
        <v>61600</v>
      </c>
      <c r="I115" s="6">
        <v>31.4</v>
      </c>
      <c r="J115" s="8">
        <v>15</v>
      </c>
      <c r="K115" s="8">
        <f t="shared" ca="1" si="1"/>
        <v>0</v>
      </c>
    </row>
    <row r="116" spans="1:11" x14ac:dyDescent="0.45">
      <c r="A116" s="5">
        <v>115</v>
      </c>
      <c r="B116" s="6" t="s">
        <v>257</v>
      </c>
      <c r="C116" s="6" t="s">
        <v>258</v>
      </c>
      <c r="D116" s="6" t="s">
        <v>16</v>
      </c>
      <c r="E116" s="6" t="s">
        <v>21</v>
      </c>
      <c r="F116" s="7">
        <v>44529</v>
      </c>
      <c r="G116" s="6" t="s">
        <v>30</v>
      </c>
      <c r="H116" s="27">
        <v>77100</v>
      </c>
      <c r="I116" s="6">
        <v>31.7</v>
      </c>
      <c r="J116" s="8">
        <v>9</v>
      </c>
      <c r="K116" s="8">
        <f t="shared" ca="1" si="1"/>
        <v>0</v>
      </c>
    </row>
    <row r="117" spans="1:11" x14ac:dyDescent="0.45">
      <c r="A117" s="5">
        <v>116</v>
      </c>
      <c r="B117" s="6" t="s">
        <v>259</v>
      </c>
      <c r="C117" s="6" t="s">
        <v>260</v>
      </c>
      <c r="D117" s="6" t="s">
        <v>16</v>
      </c>
      <c r="E117" s="6" t="s">
        <v>17</v>
      </c>
      <c r="F117" s="7">
        <v>44025</v>
      </c>
      <c r="G117" s="6" t="s">
        <v>33</v>
      </c>
      <c r="H117" s="27">
        <v>47900</v>
      </c>
      <c r="I117" s="6">
        <v>31.7</v>
      </c>
      <c r="J117" s="8">
        <v>9</v>
      </c>
      <c r="K117" s="8">
        <f t="shared" ca="1" si="1"/>
        <v>0</v>
      </c>
    </row>
    <row r="118" spans="1:11" x14ac:dyDescent="0.45">
      <c r="A118" s="5">
        <v>117</v>
      </c>
      <c r="B118" s="6" t="s">
        <v>193</v>
      </c>
      <c r="C118" s="6" t="s">
        <v>261</v>
      </c>
      <c r="D118" s="6" t="s">
        <v>11</v>
      </c>
      <c r="E118" s="6" t="s">
        <v>12</v>
      </c>
      <c r="F118" s="7">
        <v>43552</v>
      </c>
      <c r="G118" s="6" t="s">
        <v>39</v>
      </c>
      <c r="H118" s="27">
        <v>43000</v>
      </c>
      <c r="I118" s="6">
        <v>28.2</v>
      </c>
      <c r="J118" s="8">
        <v>17</v>
      </c>
      <c r="K118" s="8">
        <f t="shared" ca="1" si="1"/>
        <v>0</v>
      </c>
    </row>
    <row r="119" spans="1:11" x14ac:dyDescent="0.45">
      <c r="A119" s="5">
        <v>118</v>
      </c>
      <c r="B119" s="6" t="s">
        <v>262</v>
      </c>
      <c r="C119" s="6" t="s">
        <v>263</v>
      </c>
      <c r="D119" s="6" t="s">
        <v>16</v>
      </c>
      <c r="E119" s="6" t="s">
        <v>21</v>
      </c>
      <c r="F119" s="7">
        <v>44785</v>
      </c>
      <c r="G119" s="6" t="s">
        <v>22</v>
      </c>
      <c r="H119" s="27">
        <v>35100</v>
      </c>
      <c r="I119" s="6">
        <v>35.700000000000003</v>
      </c>
      <c r="J119" s="8">
        <v>21</v>
      </c>
      <c r="K119" s="8">
        <f t="shared" ca="1" si="1"/>
        <v>0</v>
      </c>
    </row>
    <row r="120" spans="1:11" x14ac:dyDescent="0.45">
      <c r="A120" s="5">
        <v>119</v>
      </c>
      <c r="B120" s="6" t="s">
        <v>264</v>
      </c>
      <c r="C120" s="6" t="s">
        <v>265</v>
      </c>
      <c r="D120" s="6" t="s">
        <v>16</v>
      </c>
      <c r="E120" s="6" t="s">
        <v>17</v>
      </c>
      <c r="F120" s="7">
        <v>44341</v>
      </c>
      <c r="G120" s="6" t="s">
        <v>18</v>
      </c>
      <c r="H120" s="27">
        <v>39700</v>
      </c>
      <c r="I120" s="6">
        <v>31.1</v>
      </c>
      <c r="J120" s="8">
        <v>16</v>
      </c>
      <c r="K120" s="8">
        <f t="shared" ca="1" si="1"/>
        <v>0</v>
      </c>
    </row>
    <row r="121" spans="1:11" x14ac:dyDescent="0.45">
      <c r="A121" s="5">
        <v>120</v>
      </c>
      <c r="B121" s="6" t="s">
        <v>266</v>
      </c>
      <c r="C121" s="6" t="s">
        <v>267</v>
      </c>
      <c r="D121" s="6" t="s">
        <v>11</v>
      </c>
      <c r="E121" s="6" t="s">
        <v>12</v>
      </c>
      <c r="F121" s="7">
        <v>43391</v>
      </c>
      <c r="G121" s="6" t="s">
        <v>42</v>
      </c>
      <c r="H121" s="27">
        <v>59200</v>
      </c>
      <c r="I121" s="6">
        <v>30.9</v>
      </c>
      <c r="J121" s="8">
        <v>18</v>
      </c>
      <c r="K121" s="8">
        <f t="shared" ca="1" si="1"/>
        <v>0</v>
      </c>
    </row>
    <row r="122" spans="1:11" x14ac:dyDescent="0.45">
      <c r="A122" s="5">
        <v>121</v>
      </c>
      <c r="B122" s="6" t="s">
        <v>268</v>
      </c>
      <c r="C122" s="6" t="s">
        <v>269</v>
      </c>
      <c r="D122" s="6" t="s">
        <v>11</v>
      </c>
      <c r="E122" s="6" t="s">
        <v>29</v>
      </c>
      <c r="F122" s="7">
        <v>42866</v>
      </c>
      <c r="G122" s="6" t="s">
        <v>45</v>
      </c>
      <c r="H122" s="27">
        <v>85000</v>
      </c>
      <c r="I122" s="6">
        <v>65.099999999999994</v>
      </c>
      <c r="J122" s="8">
        <v>5</v>
      </c>
      <c r="K122" s="8">
        <f t="shared" ca="1" si="1"/>
        <v>0</v>
      </c>
    </row>
    <row r="123" spans="1:11" x14ac:dyDescent="0.45">
      <c r="A123" s="5">
        <v>122</v>
      </c>
      <c r="B123" s="6" t="s">
        <v>270</v>
      </c>
      <c r="C123" s="6" t="s">
        <v>271</v>
      </c>
      <c r="D123" s="6" t="s">
        <v>16</v>
      </c>
      <c r="E123" s="6" t="s">
        <v>21</v>
      </c>
      <c r="F123" s="7">
        <v>44952</v>
      </c>
      <c r="G123" s="6" t="s">
        <v>13</v>
      </c>
      <c r="H123" s="27">
        <v>52700</v>
      </c>
      <c r="I123" s="6">
        <v>29.5</v>
      </c>
      <c r="J123" s="8">
        <v>10</v>
      </c>
      <c r="K123" s="8">
        <f t="shared" ca="1" si="1"/>
        <v>0</v>
      </c>
    </row>
    <row r="124" spans="1:11" x14ac:dyDescent="0.45">
      <c r="A124" s="5">
        <v>123</v>
      </c>
      <c r="B124" s="6" t="s">
        <v>272</v>
      </c>
      <c r="C124" s="6" t="s">
        <v>273</v>
      </c>
      <c r="D124" s="6" t="s">
        <v>11</v>
      </c>
      <c r="E124" s="6" t="s">
        <v>17</v>
      </c>
      <c r="F124" s="7">
        <v>44021</v>
      </c>
      <c r="G124" s="6" t="s">
        <v>56</v>
      </c>
      <c r="H124" s="27">
        <v>74900</v>
      </c>
      <c r="I124" s="6">
        <v>33.799999999999997</v>
      </c>
      <c r="J124" s="8">
        <v>11</v>
      </c>
      <c r="K124" s="8">
        <f t="shared" ca="1" si="1"/>
        <v>0</v>
      </c>
    </row>
    <row r="125" spans="1:11" x14ac:dyDescent="0.45">
      <c r="A125" s="5">
        <v>124</v>
      </c>
      <c r="B125" s="6" t="s">
        <v>274</v>
      </c>
      <c r="C125" s="6" t="s">
        <v>275</v>
      </c>
      <c r="D125" s="6" t="s">
        <v>16</v>
      </c>
      <c r="E125" s="6" t="s">
        <v>12</v>
      </c>
      <c r="F125" s="7">
        <v>43739</v>
      </c>
      <c r="G125" s="6" t="s">
        <v>30</v>
      </c>
      <c r="H125" s="27">
        <v>77500</v>
      </c>
      <c r="I125" s="6">
        <v>30.3</v>
      </c>
      <c r="J125" s="8">
        <v>14</v>
      </c>
      <c r="K125" s="8">
        <f t="shared" ca="1" si="1"/>
        <v>0</v>
      </c>
    </row>
    <row r="126" spans="1:11" x14ac:dyDescent="0.45">
      <c r="A126" s="5">
        <v>125</v>
      </c>
      <c r="B126" s="6" t="s">
        <v>276</v>
      </c>
      <c r="C126" s="6" t="s">
        <v>277</v>
      </c>
      <c r="D126" s="6" t="s">
        <v>11</v>
      </c>
      <c r="E126" s="6" t="s">
        <v>21</v>
      </c>
      <c r="F126" s="7">
        <v>44606</v>
      </c>
      <c r="G126" s="6" t="s">
        <v>33</v>
      </c>
      <c r="H126" s="27">
        <v>45900</v>
      </c>
      <c r="I126" s="6">
        <v>37.4</v>
      </c>
      <c r="J126" s="8">
        <v>16</v>
      </c>
      <c r="K126" s="8">
        <f t="shared" ca="1" si="1"/>
        <v>0</v>
      </c>
    </row>
    <row r="127" spans="1:11" x14ac:dyDescent="0.45">
      <c r="A127" s="5">
        <v>126</v>
      </c>
      <c r="B127" s="6" t="s">
        <v>278</v>
      </c>
      <c r="C127" s="6" t="s">
        <v>279</v>
      </c>
      <c r="D127" s="6" t="s">
        <v>16</v>
      </c>
      <c r="E127" s="6" t="s">
        <v>17</v>
      </c>
      <c r="F127" s="7">
        <v>44406</v>
      </c>
      <c r="G127" s="6" t="s">
        <v>39</v>
      </c>
      <c r="H127" s="27">
        <v>45000</v>
      </c>
      <c r="I127" s="6">
        <v>36.299999999999997</v>
      </c>
      <c r="J127" s="8">
        <v>2</v>
      </c>
      <c r="K127" s="8">
        <f t="shared" ca="1" si="1"/>
        <v>0</v>
      </c>
    </row>
    <row r="128" spans="1:11" x14ac:dyDescent="0.45">
      <c r="A128" s="5">
        <v>127</v>
      </c>
      <c r="B128" s="6" t="s">
        <v>28</v>
      </c>
      <c r="C128" s="6" t="s">
        <v>280</v>
      </c>
      <c r="D128" s="6" t="s">
        <v>11</v>
      </c>
      <c r="E128" s="6" t="s">
        <v>12</v>
      </c>
      <c r="F128" s="7">
        <v>43425</v>
      </c>
      <c r="G128" s="6" t="s">
        <v>22</v>
      </c>
      <c r="H128" s="27">
        <v>33100</v>
      </c>
      <c r="I128" s="6">
        <v>34.299999999999997</v>
      </c>
      <c r="J128" s="8">
        <v>9</v>
      </c>
      <c r="K128" s="8">
        <f t="shared" ca="1" si="1"/>
        <v>0</v>
      </c>
    </row>
    <row r="129" spans="1:11" x14ac:dyDescent="0.45">
      <c r="A129" s="5">
        <v>128</v>
      </c>
      <c r="B129" s="6" t="s">
        <v>281</v>
      </c>
      <c r="C129" s="6" t="s">
        <v>282</v>
      </c>
      <c r="D129" s="6" t="s">
        <v>11</v>
      </c>
      <c r="E129" s="6" t="s">
        <v>29</v>
      </c>
      <c r="F129" s="7">
        <v>42900</v>
      </c>
      <c r="G129" s="6" t="s">
        <v>18</v>
      </c>
      <c r="H129" s="27">
        <v>37600</v>
      </c>
      <c r="I129" s="6">
        <v>37.9</v>
      </c>
      <c r="J129" s="8">
        <v>18</v>
      </c>
      <c r="K129" s="8">
        <f t="shared" ca="1" si="1"/>
        <v>0</v>
      </c>
    </row>
    <row r="130" spans="1:11" x14ac:dyDescent="0.45">
      <c r="A130" s="5">
        <v>129</v>
      </c>
      <c r="B130" s="6" t="s">
        <v>283</v>
      </c>
      <c r="C130" s="6" t="s">
        <v>284</v>
      </c>
      <c r="D130" s="6" t="s">
        <v>16</v>
      </c>
      <c r="E130" s="6" t="s">
        <v>21</v>
      </c>
      <c r="F130" s="7">
        <v>44933</v>
      </c>
      <c r="G130" s="6" t="s">
        <v>42</v>
      </c>
      <c r="H130" s="27">
        <v>58300</v>
      </c>
      <c r="I130" s="6">
        <v>29.4</v>
      </c>
      <c r="J130" s="8">
        <v>16</v>
      </c>
      <c r="K130" s="8">
        <f t="shared" ca="1" si="1"/>
        <v>0</v>
      </c>
    </row>
    <row r="131" spans="1:11" x14ac:dyDescent="0.45">
      <c r="A131" s="5">
        <v>130</v>
      </c>
      <c r="B131" s="6" t="s">
        <v>285</v>
      </c>
      <c r="C131" s="6" t="s">
        <v>286</v>
      </c>
      <c r="D131" s="6" t="s">
        <v>16</v>
      </c>
      <c r="E131" s="6" t="s">
        <v>17</v>
      </c>
      <c r="F131" s="7">
        <v>44042</v>
      </c>
      <c r="G131" s="6" t="s">
        <v>45</v>
      </c>
      <c r="H131" s="27">
        <v>83900</v>
      </c>
      <c r="I131" s="6">
        <v>31.4</v>
      </c>
      <c r="J131" s="8">
        <v>14</v>
      </c>
      <c r="K131" s="8">
        <f t="shared" ref="K131:K162" ca="1" si="2">IF(K131&lt;5,"Low",IF(K131&lt;=10,"Medium","High"))</f>
        <v>0</v>
      </c>
    </row>
    <row r="132" spans="1:11" x14ac:dyDescent="0.45">
      <c r="A132" s="5">
        <v>131</v>
      </c>
      <c r="B132" s="6" t="s">
        <v>221</v>
      </c>
      <c r="C132" s="6" t="s">
        <v>287</v>
      </c>
      <c r="D132" s="6" t="s">
        <v>11</v>
      </c>
      <c r="E132" s="6" t="s">
        <v>12</v>
      </c>
      <c r="F132" s="7">
        <v>43822</v>
      </c>
      <c r="G132" s="6" t="s">
        <v>13</v>
      </c>
      <c r="H132" s="27">
        <v>51100</v>
      </c>
      <c r="I132" s="6">
        <v>33.700000000000003</v>
      </c>
      <c r="J132" s="8">
        <v>16</v>
      </c>
      <c r="K132" s="8">
        <f t="shared" ca="1" si="2"/>
        <v>0</v>
      </c>
    </row>
    <row r="133" spans="1:11" x14ac:dyDescent="0.45">
      <c r="A133" s="5">
        <v>132</v>
      </c>
      <c r="B133" s="6" t="s">
        <v>288</v>
      </c>
      <c r="C133" s="6" t="s">
        <v>289</v>
      </c>
      <c r="D133" s="6" t="s">
        <v>16</v>
      </c>
      <c r="E133" s="6" t="s">
        <v>29</v>
      </c>
      <c r="F133" s="7">
        <v>43359</v>
      </c>
      <c r="G133" s="6" t="s">
        <v>25</v>
      </c>
      <c r="H133" s="27">
        <v>62900</v>
      </c>
      <c r="I133" s="6">
        <v>36.799999999999997</v>
      </c>
      <c r="J133" s="8">
        <v>15</v>
      </c>
      <c r="K133" s="8">
        <f t="shared" ca="1" si="2"/>
        <v>0</v>
      </c>
    </row>
    <row r="134" spans="1:11" x14ac:dyDescent="0.45">
      <c r="A134" s="5">
        <v>133</v>
      </c>
      <c r="B134" s="6" t="s">
        <v>290</v>
      </c>
      <c r="C134" s="6" t="s">
        <v>291</v>
      </c>
      <c r="D134" s="6" t="s">
        <v>16</v>
      </c>
      <c r="E134" s="6" t="s">
        <v>21</v>
      </c>
      <c r="F134" s="7">
        <v>44599</v>
      </c>
      <c r="G134" s="6" t="s">
        <v>30</v>
      </c>
      <c r="H134" s="27">
        <v>79200</v>
      </c>
      <c r="I134" s="6">
        <v>31.4</v>
      </c>
      <c r="J134" s="8">
        <v>14</v>
      </c>
      <c r="K134" s="8">
        <f t="shared" ca="1" si="2"/>
        <v>0</v>
      </c>
    </row>
    <row r="135" spans="1:11" x14ac:dyDescent="0.45">
      <c r="A135" s="5">
        <v>134</v>
      </c>
      <c r="B135" s="6" t="s">
        <v>292</v>
      </c>
      <c r="C135" s="6" t="s">
        <v>293</v>
      </c>
      <c r="D135" s="6" t="s">
        <v>16</v>
      </c>
      <c r="E135" s="6" t="s">
        <v>17</v>
      </c>
      <c r="F135" s="7">
        <v>44369</v>
      </c>
      <c r="G135" s="6" t="s">
        <v>33</v>
      </c>
      <c r="H135" s="27">
        <v>47000</v>
      </c>
      <c r="I135" s="6">
        <v>32.299999999999997</v>
      </c>
      <c r="J135" s="8">
        <v>22</v>
      </c>
      <c r="K135" s="8">
        <f t="shared" ca="1" si="2"/>
        <v>0</v>
      </c>
    </row>
    <row r="136" spans="1:11" x14ac:dyDescent="0.45">
      <c r="A136" s="5">
        <v>135</v>
      </c>
      <c r="B136" s="6" t="s">
        <v>294</v>
      </c>
      <c r="C136" s="6" t="s">
        <v>295</v>
      </c>
      <c r="D136" s="6" t="s">
        <v>11</v>
      </c>
      <c r="E136" s="6" t="s">
        <v>12</v>
      </c>
      <c r="F136" s="7">
        <v>44089</v>
      </c>
      <c r="G136" s="6" t="s">
        <v>39</v>
      </c>
      <c r="H136" s="27">
        <v>42400</v>
      </c>
      <c r="I136" s="6">
        <v>66.2</v>
      </c>
      <c r="J136" s="8">
        <v>19</v>
      </c>
      <c r="K136" s="8">
        <f t="shared" ca="1" si="2"/>
        <v>0</v>
      </c>
    </row>
    <row r="137" spans="1:11" x14ac:dyDescent="0.45">
      <c r="A137" s="5">
        <v>136</v>
      </c>
      <c r="B137" s="6" t="s">
        <v>296</v>
      </c>
      <c r="C137" s="6" t="s">
        <v>297</v>
      </c>
      <c r="D137" s="6" t="s">
        <v>16</v>
      </c>
      <c r="E137" s="6" t="s">
        <v>21</v>
      </c>
      <c r="F137" s="7">
        <v>43797</v>
      </c>
      <c r="G137" s="6" t="s">
        <v>22</v>
      </c>
      <c r="H137" s="27">
        <v>33800</v>
      </c>
      <c r="I137" s="6">
        <v>66.7</v>
      </c>
      <c r="J137" s="8">
        <v>8</v>
      </c>
      <c r="K137" s="8">
        <f t="shared" ca="1" si="2"/>
        <v>0</v>
      </c>
    </row>
    <row r="138" spans="1:11" x14ac:dyDescent="0.45">
      <c r="A138" s="5">
        <v>137</v>
      </c>
      <c r="B138" s="6" t="s">
        <v>298</v>
      </c>
      <c r="C138" s="6" t="s">
        <v>299</v>
      </c>
      <c r="D138" s="6" t="s">
        <v>16</v>
      </c>
      <c r="E138" s="6" t="s">
        <v>17</v>
      </c>
      <c r="F138" s="7">
        <v>44938</v>
      </c>
      <c r="G138" s="6" t="s">
        <v>18</v>
      </c>
      <c r="H138" s="27">
        <v>36000</v>
      </c>
      <c r="I138" s="6">
        <v>31</v>
      </c>
      <c r="J138" s="8">
        <v>18</v>
      </c>
      <c r="K138" s="8">
        <f t="shared" ca="1" si="2"/>
        <v>0</v>
      </c>
    </row>
    <row r="139" spans="1:11" x14ac:dyDescent="0.45">
      <c r="A139" s="5">
        <v>138</v>
      </c>
      <c r="B139" s="6" t="s">
        <v>300</v>
      </c>
      <c r="C139" s="6" t="s">
        <v>301</v>
      </c>
      <c r="D139" s="6" t="s">
        <v>11</v>
      </c>
      <c r="E139" s="6" t="s">
        <v>12</v>
      </c>
      <c r="F139" s="7">
        <v>44321</v>
      </c>
      <c r="G139" s="6" t="s">
        <v>42</v>
      </c>
      <c r="H139" s="27">
        <v>58500</v>
      </c>
      <c r="I139" s="6">
        <v>31.3</v>
      </c>
      <c r="J139" s="8">
        <v>23</v>
      </c>
      <c r="K139" s="8">
        <f t="shared" ca="1" si="2"/>
        <v>0</v>
      </c>
    </row>
    <row r="140" spans="1:11" x14ac:dyDescent="0.45">
      <c r="A140" s="5">
        <v>139</v>
      </c>
      <c r="B140" s="6" t="s">
        <v>302</v>
      </c>
      <c r="C140" s="6" t="s">
        <v>303</v>
      </c>
      <c r="D140" s="6" t="s">
        <v>11</v>
      </c>
      <c r="E140" s="6" t="s">
        <v>29</v>
      </c>
      <c r="F140" s="7">
        <v>43371</v>
      </c>
      <c r="G140" s="6" t="s">
        <v>45</v>
      </c>
      <c r="H140" s="27">
        <v>83200</v>
      </c>
      <c r="I140" s="6">
        <v>31.6</v>
      </c>
      <c r="J140" s="8">
        <v>9</v>
      </c>
      <c r="K140" s="8">
        <f t="shared" ca="1" si="2"/>
        <v>0</v>
      </c>
    </row>
    <row r="141" spans="1:11" x14ac:dyDescent="0.45">
      <c r="A141" s="5">
        <v>140</v>
      </c>
      <c r="B141" s="6" t="s">
        <v>168</v>
      </c>
      <c r="C141" s="6" t="s">
        <v>304</v>
      </c>
      <c r="D141" s="6" t="s">
        <v>16</v>
      </c>
      <c r="E141" s="6" t="s">
        <v>21</v>
      </c>
      <c r="F141" s="7">
        <v>44692</v>
      </c>
      <c r="G141" s="6" t="s">
        <v>13</v>
      </c>
      <c r="H141" s="27">
        <v>51100</v>
      </c>
      <c r="I141" s="6">
        <v>32.5</v>
      </c>
      <c r="J141" s="8">
        <v>10</v>
      </c>
      <c r="K141" s="8">
        <f t="shared" ca="1" si="2"/>
        <v>0</v>
      </c>
    </row>
    <row r="142" spans="1:11" x14ac:dyDescent="0.45">
      <c r="A142" s="5">
        <v>141</v>
      </c>
      <c r="B142" s="6" t="s">
        <v>142</v>
      </c>
      <c r="C142" s="6" t="s">
        <v>305</v>
      </c>
      <c r="D142" s="6" t="s">
        <v>11</v>
      </c>
      <c r="E142" s="6" t="s">
        <v>17</v>
      </c>
      <c r="F142" s="7">
        <v>44463</v>
      </c>
      <c r="G142" s="6" t="s">
        <v>56</v>
      </c>
      <c r="H142" s="27">
        <v>73200</v>
      </c>
      <c r="I142" s="6">
        <v>30.6</v>
      </c>
      <c r="J142" s="8">
        <v>12</v>
      </c>
      <c r="K142" s="8">
        <f t="shared" ca="1" si="2"/>
        <v>0</v>
      </c>
    </row>
    <row r="143" spans="1:11" x14ac:dyDescent="0.45">
      <c r="A143" s="5">
        <v>142</v>
      </c>
      <c r="B143" s="6" t="s">
        <v>306</v>
      </c>
      <c r="C143" s="6" t="s">
        <v>307</v>
      </c>
      <c r="D143" s="6" t="s">
        <v>16</v>
      </c>
      <c r="E143" s="6" t="s">
        <v>12</v>
      </c>
      <c r="F143" s="7">
        <v>44182</v>
      </c>
      <c r="G143" s="6" t="s">
        <v>30</v>
      </c>
      <c r="H143" s="27">
        <v>77800</v>
      </c>
      <c r="I143" s="6">
        <v>28.9</v>
      </c>
      <c r="J143" s="8">
        <v>6</v>
      </c>
      <c r="K143" s="8">
        <f t="shared" ca="1" si="2"/>
        <v>0</v>
      </c>
    </row>
    <row r="144" spans="1:11" x14ac:dyDescent="0.45">
      <c r="A144" s="5">
        <v>143</v>
      </c>
      <c r="B144" s="6" t="s">
        <v>308</v>
      </c>
      <c r="C144" s="6" t="s">
        <v>309</v>
      </c>
      <c r="D144" s="6" t="s">
        <v>11</v>
      </c>
      <c r="E144" s="6" t="s">
        <v>21</v>
      </c>
      <c r="F144" s="7">
        <v>44965</v>
      </c>
      <c r="G144" s="6" t="s">
        <v>33</v>
      </c>
      <c r="H144" s="27">
        <v>45500</v>
      </c>
      <c r="I144" s="6">
        <v>36.1</v>
      </c>
      <c r="J144" s="8">
        <v>20</v>
      </c>
      <c r="K144" s="8">
        <f t="shared" ca="1" si="2"/>
        <v>0</v>
      </c>
    </row>
    <row r="145" spans="1:11" x14ac:dyDescent="0.45">
      <c r="A145" s="5">
        <v>144</v>
      </c>
      <c r="B145" s="6" t="s">
        <v>310</v>
      </c>
      <c r="C145" s="6" t="s">
        <v>311</v>
      </c>
      <c r="D145" s="6" t="s">
        <v>16</v>
      </c>
      <c r="E145" s="6" t="s">
        <v>17</v>
      </c>
      <c r="F145" s="7">
        <v>44401</v>
      </c>
      <c r="G145" s="6" t="s">
        <v>39</v>
      </c>
      <c r="H145" s="27">
        <v>41800</v>
      </c>
      <c r="I145" s="6">
        <v>31.1</v>
      </c>
      <c r="J145" s="8">
        <v>18</v>
      </c>
      <c r="K145" s="8">
        <f t="shared" ca="1" si="2"/>
        <v>0</v>
      </c>
    </row>
    <row r="146" spans="1:11" x14ac:dyDescent="0.45">
      <c r="A146" s="5">
        <v>145</v>
      </c>
      <c r="B146" s="6" t="s">
        <v>312</v>
      </c>
      <c r="C146" s="6" t="s">
        <v>313</v>
      </c>
      <c r="D146" s="6" t="s">
        <v>11</v>
      </c>
      <c r="E146" s="6" t="s">
        <v>12</v>
      </c>
      <c r="F146" s="7">
        <v>43786</v>
      </c>
      <c r="G146" s="6" t="s">
        <v>22</v>
      </c>
      <c r="H146" s="27">
        <v>32600</v>
      </c>
      <c r="I146" s="6">
        <v>28.6</v>
      </c>
      <c r="J146" s="8">
        <v>37</v>
      </c>
      <c r="K146" s="8">
        <f t="shared" ca="1" si="2"/>
        <v>0</v>
      </c>
    </row>
    <row r="147" spans="1:11" x14ac:dyDescent="0.45">
      <c r="A147" s="5">
        <v>146</v>
      </c>
      <c r="B147" s="6" t="s">
        <v>314</v>
      </c>
      <c r="C147" s="6" t="s">
        <v>315</v>
      </c>
      <c r="D147" s="6" t="s">
        <v>11</v>
      </c>
      <c r="E147" s="6" t="s">
        <v>29</v>
      </c>
      <c r="F147" s="7">
        <v>43383</v>
      </c>
      <c r="G147" s="6" t="s">
        <v>18</v>
      </c>
      <c r="H147" s="27">
        <v>37600</v>
      </c>
      <c r="I147" s="6">
        <v>30.8</v>
      </c>
      <c r="J147" s="8">
        <v>9</v>
      </c>
      <c r="K147" s="8">
        <f t="shared" ca="1" si="2"/>
        <v>0</v>
      </c>
    </row>
    <row r="148" spans="1:11" x14ac:dyDescent="0.45">
      <c r="A148" s="5">
        <v>147</v>
      </c>
      <c r="B148" s="6" t="s">
        <v>55</v>
      </c>
      <c r="C148" s="6" t="s">
        <v>316</v>
      </c>
      <c r="D148" s="6" t="s">
        <v>16</v>
      </c>
      <c r="E148" s="6" t="s">
        <v>21</v>
      </c>
      <c r="F148" s="7">
        <v>43864</v>
      </c>
      <c r="G148" s="6" t="s">
        <v>42</v>
      </c>
      <c r="H148" s="27">
        <v>59500</v>
      </c>
      <c r="I148" s="6">
        <v>61.1</v>
      </c>
      <c r="J148" s="8">
        <v>18</v>
      </c>
      <c r="K148" s="8">
        <f t="shared" ca="1" si="2"/>
        <v>0</v>
      </c>
    </row>
    <row r="149" spans="1:11" x14ac:dyDescent="0.45">
      <c r="A149" s="5">
        <v>148</v>
      </c>
      <c r="B149" s="6" t="s">
        <v>251</v>
      </c>
      <c r="C149" s="6" t="s">
        <v>317</v>
      </c>
      <c r="D149" s="6" t="s">
        <v>16</v>
      </c>
      <c r="E149" s="6" t="s">
        <v>17</v>
      </c>
      <c r="F149" s="7">
        <v>43673</v>
      </c>
      <c r="G149" s="6" t="s">
        <v>45</v>
      </c>
      <c r="H149" s="27">
        <v>82400</v>
      </c>
      <c r="I149" s="6">
        <v>33.799999999999997</v>
      </c>
      <c r="J149" s="8">
        <v>14</v>
      </c>
      <c r="K149" s="8">
        <f t="shared" ca="1" si="2"/>
        <v>0</v>
      </c>
    </row>
    <row r="150" spans="1:11" x14ac:dyDescent="0.45">
      <c r="A150" s="5">
        <v>149</v>
      </c>
      <c r="B150" s="6" t="s">
        <v>318</v>
      </c>
      <c r="C150" s="6" t="s">
        <v>319</v>
      </c>
      <c r="D150" s="6" t="s">
        <v>11</v>
      </c>
      <c r="E150" s="6" t="s">
        <v>12</v>
      </c>
      <c r="F150" s="7">
        <v>44520</v>
      </c>
      <c r="G150" s="6" t="s">
        <v>13</v>
      </c>
      <c r="H150" s="27">
        <v>51300</v>
      </c>
      <c r="I150" s="6">
        <v>32.700000000000003</v>
      </c>
      <c r="J150" s="8">
        <v>23</v>
      </c>
      <c r="K150" s="8">
        <f t="shared" ca="1" si="2"/>
        <v>0</v>
      </c>
    </row>
    <row r="151" spans="1:11" x14ac:dyDescent="0.45">
      <c r="A151" s="5">
        <v>150</v>
      </c>
      <c r="B151" s="6" t="s">
        <v>288</v>
      </c>
      <c r="C151" s="6" t="s">
        <v>320</v>
      </c>
      <c r="D151" s="6" t="s">
        <v>16</v>
      </c>
      <c r="E151" s="6" t="s">
        <v>29</v>
      </c>
      <c r="F151" s="7">
        <v>43964</v>
      </c>
      <c r="G151" s="6" t="s">
        <v>25</v>
      </c>
      <c r="H151" s="27">
        <v>61200</v>
      </c>
      <c r="I151" s="6">
        <v>44.1</v>
      </c>
      <c r="J151" s="8">
        <v>14</v>
      </c>
      <c r="K151" s="8">
        <f t="shared" ca="1" si="2"/>
        <v>0</v>
      </c>
    </row>
    <row r="152" spans="1:11" x14ac:dyDescent="0.45">
      <c r="A152" s="5">
        <v>151</v>
      </c>
      <c r="B152" s="6" t="s">
        <v>257</v>
      </c>
      <c r="C152" s="6" t="s">
        <v>321</v>
      </c>
      <c r="D152" s="6" t="s">
        <v>16</v>
      </c>
      <c r="E152" s="6" t="s">
        <v>21</v>
      </c>
      <c r="F152" s="7">
        <v>43683</v>
      </c>
      <c r="G152" s="6" t="s">
        <v>30</v>
      </c>
      <c r="H152" s="27">
        <v>78200</v>
      </c>
      <c r="I152" s="6">
        <v>27.6</v>
      </c>
      <c r="J152" s="8">
        <v>21</v>
      </c>
      <c r="K152" s="8">
        <f t="shared" ca="1" si="2"/>
        <v>0</v>
      </c>
    </row>
    <row r="153" spans="1:11" x14ac:dyDescent="0.45">
      <c r="A153" s="5">
        <v>152</v>
      </c>
      <c r="B153" s="6" t="s">
        <v>292</v>
      </c>
      <c r="C153" s="6" t="s">
        <v>322</v>
      </c>
      <c r="D153" s="6" t="s">
        <v>16</v>
      </c>
      <c r="E153" s="6" t="s">
        <v>17</v>
      </c>
      <c r="F153" s="7">
        <v>44986</v>
      </c>
      <c r="G153" s="6" t="s">
        <v>33</v>
      </c>
      <c r="H153" s="27">
        <v>48100</v>
      </c>
      <c r="I153" s="6">
        <v>37.200000000000003</v>
      </c>
      <c r="J153" s="8">
        <v>16</v>
      </c>
      <c r="K153" s="8">
        <f t="shared" ca="1" si="2"/>
        <v>0</v>
      </c>
    </row>
    <row r="154" spans="1:11" x14ac:dyDescent="0.45">
      <c r="A154" s="5">
        <v>153</v>
      </c>
      <c r="B154" s="6" t="s">
        <v>294</v>
      </c>
      <c r="C154" s="6" t="s">
        <v>323</v>
      </c>
      <c r="D154" s="6" t="s">
        <v>11</v>
      </c>
      <c r="E154" s="6" t="s">
        <v>12</v>
      </c>
      <c r="F154" s="7">
        <v>44341</v>
      </c>
      <c r="G154" s="6" t="s">
        <v>39</v>
      </c>
      <c r="H154" s="27">
        <v>44000</v>
      </c>
      <c r="I154" s="6">
        <v>30.9</v>
      </c>
      <c r="J154" s="8">
        <v>15</v>
      </c>
      <c r="K154" s="8">
        <f t="shared" ca="1" si="2"/>
        <v>0</v>
      </c>
    </row>
    <row r="155" spans="1:11" x14ac:dyDescent="0.45">
      <c r="A155" s="5">
        <v>154</v>
      </c>
      <c r="B155" s="6" t="s">
        <v>324</v>
      </c>
      <c r="C155" s="6" t="s">
        <v>325</v>
      </c>
      <c r="D155" s="6" t="s">
        <v>16</v>
      </c>
      <c r="E155" s="6" t="s">
        <v>21</v>
      </c>
      <c r="F155" s="7">
        <v>44091</v>
      </c>
      <c r="G155" s="6" t="s">
        <v>22</v>
      </c>
      <c r="H155" s="27">
        <v>36000</v>
      </c>
      <c r="I155" s="6">
        <v>26</v>
      </c>
      <c r="J155" s="8">
        <v>15</v>
      </c>
      <c r="K155" s="8">
        <f t="shared" ca="1" si="2"/>
        <v>0</v>
      </c>
    </row>
    <row r="156" spans="1:11" x14ac:dyDescent="0.45">
      <c r="A156" s="5">
        <v>155</v>
      </c>
      <c r="B156" s="6" t="s">
        <v>298</v>
      </c>
      <c r="C156" s="6" t="s">
        <v>326</v>
      </c>
      <c r="D156" s="6" t="s">
        <v>16</v>
      </c>
      <c r="E156" s="6" t="s">
        <v>17</v>
      </c>
      <c r="F156" s="7">
        <v>43809</v>
      </c>
      <c r="G156" s="6" t="s">
        <v>18</v>
      </c>
      <c r="H156" s="27">
        <v>37400</v>
      </c>
      <c r="I156" s="6">
        <v>46.2</v>
      </c>
      <c r="J156" s="8">
        <v>20</v>
      </c>
      <c r="K156" s="8">
        <f t="shared" ca="1" si="2"/>
        <v>0</v>
      </c>
    </row>
    <row r="157" spans="1:11" x14ac:dyDescent="0.45">
      <c r="A157" s="5">
        <v>156</v>
      </c>
      <c r="B157" s="6" t="s">
        <v>300</v>
      </c>
      <c r="C157" s="6" t="s">
        <v>327</v>
      </c>
      <c r="D157" s="6" t="s">
        <v>11</v>
      </c>
      <c r="E157" s="6" t="s">
        <v>12</v>
      </c>
      <c r="F157" s="7">
        <v>43407</v>
      </c>
      <c r="G157" s="6" t="s">
        <v>42</v>
      </c>
      <c r="H157" s="27">
        <v>57100</v>
      </c>
      <c r="I157" s="6">
        <v>33.9</v>
      </c>
      <c r="J157" s="8">
        <v>16</v>
      </c>
      <c r="K157" s="8">
        <f t="shared" ca="1" si="2"/>
        <v>0</v>
      </c>
    </row>
    <row r="158" spans="1:11" x14ac:dyDescent="0.45">
      <c r="A158" s="5">
        <v>157</v>
      </c>
      <c r="B158" s="6" t="s">
        <v>328</v>
      </c>
      <c r="C158" s="6" t="s">
        <v>329</v>
      </c>
      <c r="D158" s="6" t="s">
        <v>11</v>
      </c>
      <c r="E158" s="6" t="s">
        <v>29</v>
      </c>
      <c r="F158" s="7">
        <v>43065</v>
      </c>
      <c r="G158" s="6" t="s">
        <v>45</v>
      </c>
      <c r="H158" s="27">
        <v>82300</v>
      </c>
      <c r="I158" s="6">
        <v>34.4</v>
      </c>
      <c r="J158" s="8">
        <v>18</v>
      </c>
      <c r="K158" s="8">
        <f t="shared" ca="1" si="2"/>
        <v>0</v>
      </c>
    </row>
    <row r="159" spans="1:11" x14ac:dyDescent="0.45">
      <c r="A159" s="5">
        <v>158</v>
      </c>
      <c r="B159" s="6" t="s">
        <v>168</v>
      </c>
      <c r="C159" s="6" t="s">
        <v>330</v>
      </c>
      <c r="D159" s="6" t="s">
        <v>16</v>
      </c>
      <c r="E159" s="6" t="s">
        <v>21</v>
      </c>
      <c r="F159" s="7">
        <v>45025</v>
      </c>
      <c r="G159" s="6" t="s">
        <v>13</v>
      </c>
      <c r="H159" s="27">
        <v>52900</v>
      </c>
      <c r="I159" s="6">
        <v>30.5</v>
      </c>
      <c r="J159" s="8">
        <v>8</v>
      </c>
      <c r="K159" s="8">
        <f t="shared" ca="1" si="2"/>
        <v>0</v>
      </c>
    </row>
    <row r="160" spans="1:11" x14ac:dyDescent="0.45">
      <c r="A160" s="5">
        <v>159</v>
      </c>
      <c r="B160" s="6" t="s">
        <v>142</v>
      </c>
      <c r="C160" s="6" t="s">
        <v>331</v>
      </c>
      <c r="D160" s="6" t="s">
        <v>11</v>
      </c>
      <c r="E160" s="6" t="s">
        <v>17</v>
      </c>
      <c r="F160" s="7">
        <v>43984</v>
      </c>
      <c r="G160" s="6" t="s">
        <v>56</v>
      </c>
      <c r="H160" s="27">
        <v>71100</v>
      </c>
      <c r="I160" s="6">
        <v>31.6</v>
      </c>
      <c r="J160" s="8">
        <v>13</v>
      </c>
      <c r="K160" s="8">
        <f t="shared" ca="1" si="2"/>
        <v>0</v>
      </c>
    </row>
    <row r="161" spans="1:11" x14ac:dyDescent="0.45">
      <c r="A161" s="5">
        <v>160</v>
      </c>
      <c r="B161" s="6" t="s">
        <v>306</v>
      </c>
      <c r="C161" s="6" t="s">
        <v>332</v>
      </c>
      <c r="D161" s="6" t="s">
        <v>16</v>
      </c>
      <c r="E161" s="6" t="s">
        <v>12</v>
      </c>
      <c r="F161" s="7">
        <v>43703</v>
      </c>
      <c r="G161" s="6" t="s">
        <v>30</v>
      </c>
      <c r="H161" s="27">
        <v>76900</v>
      </c>
      <c r="I161" s="6">
        <v>33.200000000000003</v>
      </c>
      <c r="J161" s="8">
        <v>17</v>
      </c>
      <c r="K161" s="8">
        <f t="shared" ca="1" si="2"/>
        <v>0</v>
      </c>
    </row>
    <row r="162" spans="1:11" x14ac:dyDescent="0.45">
      <c r="A162" s="9">
        <v>161</v>
      </c>
      <c r="B162" s="10" t="s">
        <v>308</v>
      </c>
      <c r="C162" s="10" t="s">
        <v>333</v>
      </c>
      <c r="D162" s="10" t="s">
        <v>11</v>
      </c>
      <c r="E162" s="10" t="s">
        <v>21</v>
      </c>
      <c r="F162" s="11">
        <v>44639</v>
      </c>
      <c r="G162" s="10" t="s">
        <v>33</v>
      </c>
      <c r="H162" s="28">
        <v>46400</v>
      </c>
      <c r="I162" s="10">
        <v>37.1</v>
      </c>
      <c r="J162" s="12">
        <v>11</v>
      </c>
      <c r="K162" s="8">
        <f t="shared" ca="1" si="2"/>
        <v>0</v>
      </c>
    </row>
  </sheetData>
  <autoFilter ref="K1:K162" xr:uid="{F7278C99-611B-4334-B1D5-6B798734358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79F62-FFFA-4B66-9D69-D52ACDAA2A2E}">
  <sheetPr>
    <tabColor theme="1" tint="4.9989318521683403E-2"/>
  </sheetPr>
  <dimension ref="A1:B162"/>
  <sheetViews>
    <sheetView topLeftCell="D1" workbookViewId="0">
      <selection activeCell="D18" sqref="D18"/>
    </sheetView>
  </sheetViews>
  <sheetFormatPr defaultRowHeight="18.5" x14ac:dyDescent="0.45"/>
  <cols>
    <col min="1" max="1" width="20" customWidth="1"/>
    <col min="2" max="2" width="18.5703125" bestFit="1" customWidth="1"/>
    <col min="3" max="3" width="12.42578125" bestFit="1" customWidth="1"/>
    <col min="4" max="4" width="17.85546875" bestFit="1" customWidth="1"/>
    <col min="5" max="5" width="10.5" bestFit="1" customWidth="1"/>
    <col min="6" max="6" width="5.7109375" bestFit="1" customWidth="1"/>
    <col min="7" max="7" width="14.35546875" bestFit="1" customWidth="1"/>
  </cols>
  <sheetData>
    <row r="1" spans="1:2" x14ac:dyDescent="0.45">
      <c r="A1" s="3" t="s">
        <v>5</v>
      </c>
      <c r="B1" s="3" t="s">
        <v>6</v>
      </c>
    </row>
    <row r="2" spans="1:2" x14ac:dyDescent="0.45">
      <c r="A2" s="6" t="s">
        <v>13</v>
      </c>
      <c r="B2" s="27">
        <v>51300</v>
      </c>
    </row>
    <row r="3" spans="1:2" x14ac:dyDescent="0.45">
      <c r="A3" s="6" t="s">
        <v>18</v>
      </c>
      <c r="B3" s="27">
        <v>38300</v>
      </c>
    </row>
    <row r="4" spans="1:2" x14ac:dyDescent="0.45">
      <c r="A4" s="6" t="s">
        <v>22</v>
      </c>
      <c r="B4" s="27">
        <v>31400</v>
      </c>
    </row>
    <row r="5" spans="1:2" x14ac:dyDescent="0.45">
      <c r="A5" s="6" t="s">
        <v>25</v>
      </c>
      <c r="B5" s="27">
        <v>60700</v>
      </c>
    </row>
    <row r="6" spans="1:2" x14ac:dyDescent="0.45">
      <c r="A6" s="6" t="s">
        <v>30</v>
      </c>
      <c r="B6" s="27">
        <v>77300</v>
      </c>
    </row>
    <row r="7" spans="1:2" x14ac:dyDescent="0.45">
      <c r="A7" s="6" t="s">
        <v>33</v>
      </c>
      <c r="B7" s="27">
        <v>49800</v>
      </c>
    </row>
    <row r="8" spans="1:2" x14ac:dyDescent="0.45">
      <c r="A8" s="6" t="s">
        <v>18</v>
      </c>
      <c r="B8" s="27">
        <v>33000</v>
      </c>
    </row>
    <row r="9" spans="1:2" x14ac:dyDescent="0.45">
      <c r="A9" s="6" t="s">
        <v>39</v>
      </c>
      <c r="B9" s="27">
        <v>41900</v>
      </c>
    </row>
    <row r="10" spans="1:2" x14ac:dyDescent="0.45">
      <c r="A10" s="6" t="s">
        <v>42</v>
      </c>
      <c r="B10" s="27">
        <v>58100</v>
      </c>
    </row>
    <row r="11" spans="1:2" x14ac:dyDescent="0.45">
      <c r="A11" s="6" t="s">
        <v>45</v>
      </c>
      <c r="B11" s="27">
        <v>82900</v>
      </c>
    </row>
    <row r="12" spans="1:2" x14ac:dyDescent="0.45">
      <c r="A12" s="6" t="s">
        <v>22</v>
      </c>
      <c r="B12" s="27">
        <v>28900</v>
      </c>
    </row>
    <row r="13" spans="1:2" x14ac:dyDescent="0.45">
      <c r="A13" s="6" t="s">
        <v>18</v>
      </c>
      <c r="B13" s="27">
        <v>37300</v>
      </c>
    </row>
    <row r="14" spans="1:2" x14ac:dyDescent="0.45">
      <c r="A14" s="6" t="s">
        <v>13</v>
      </c>
      <c r="B14" s="27">
        <v>52700</v>
      </c>
    </row>
    <row r="15" spans="1:2" x14ac:dyDescent="0.45">
      <c r="A15" s="6" t="s">
        <v>56</v>
      </c>
      <c r="B15" s="27">
        <v>74700</v>
      </c>
    </row>
    <row r="16" spans="1:2" x14ac:dyDescent="0.45">
      <c r="A16" s="6" t="s">
        <v>42</v>
      </c>
      <c r="B16" s="27">
        <v>55600</v>
      </c>
    </row>
    <row r="17" spans="1:2" x14ac:dyDescent="0.45">
      <c r="A17" s="6" t="s">
        <v>22</v>
      </c>
      <c r="B17" s="27">
        <v>32900</v>
      </c>
    </row>
    <row r="18" spans="1:2" x14ac:dyDescent="0.45">
      <c r="A18" s="6" t="s">
        <v>39</v>
      </c>
      <c r="B18" s="27">
        <v>41500</v>
      </c>
    </row>
    <row r="19" spans="1:2" x14ac:dyDescent="0.45">
      <c r="A19" s="6" t="s">
        <v>33</v>
      </c>
      <c r="B19" s="27">
        <v>49400</v>
      </c>
    </row>
    <row r="20" spans="1:2" x14ac:dyDescent="0.45">
      <c r="A20" s="6" t="s">
        <v>45</v>
      </c>
      <c r="B20" s="27">
        <v>82700</v>
      </c>
    </row>
    <row r="21" spans="1:2" x14ac:dyDescent="0.45">
      <c r="A21" s="6" t="s">
        <v>18</v>
      </c>
      <c r="B21" s="27">
        <v>38200</v>
      </c>
    </row>
    <row r="22" spans="1:2" x14ac:dyDescent="0.45">
      <c r="A22" s="6" t="s">
        <v>22</v>
      </c>
      <c r="B22" s="27">
        <v>32600</v>
      </c>
    </row>
    <row r="23" spans="1:2" x14ac:dyDescent="0.45">
      <c r="A23" s="6" t="s">
        <v>30</v>
      </c>
      <c r="B23" s="27">
        <v>76800</v>
      </c>
    </row>
    <row r="24" spans="1:2" x14ac:dyDescent="0.45">
      <c r="A24" s="6" t="s">
        <v>25</v>
      </c>
      <c r="B24" s="27">
        <v>62300</v>
      </c>
    </row>
    <row r="25" spans="1:2" x14ac:dyDescent="0.45">
      <c r="A25" s="6" t="s">
        <v>33</v>
      </c>
      <c r="B25" s="27">
        <v>46200</v>
      </c>
    </row>
    <row r="26" spans="1:2" x14ac:dyDescent="0.45">
      <c r="A26" s="6" t="s">
        <v>22</v>
      </c>
      <c r="B26" s="27">
        <v>32500</v>
      </c>
    </row>
    <row r="27" spans="1:2" x14ac:dyDescent="0.45">
      <c r="A27" s="6" t="s">
        <v>39</v>
      </c>
      <c r="B27" s="27">
        <v>43100</v>
      </c>
    </row>
    <row r="28" spans="1:2" x14ac:dyDescent="0.45">
      <c r="A28" s="6" t="s">
        <v>42</v>
      </c>
      <c r="B28" s="27">
        <v>60000</v>
      </c>
    </row>
    <row r="29" spans="1:2" x14ac:dyDescent="0.45">
      <c r="A29" s="6" t="s">
        <v>45</v>
      </c>
      <c r="B29" s="27">
        <v>82100</v>
      </c>
    </row>
    <row r="30" spans="1:2" x14ac:dyDescent="0.45">
      <c r="A30" s="6" t="s">
        <v>18</v>
      </c>
      <c r="B30" s="27">
        <v>35900</v>
      </c>
    </row>
    <row r="31" spans="1:2" x14ac:dyDescent="0.45">
      <c r="A31" s="6" t="s">
        <v>22</v>
      </c>
      <c r="B31" s="27">
        <v>31100</v>
      </c>
    </row>
    <row r="32" spans="1:2" x14ac:dyDescent="0.45">
      <c r="A32" s="6" t="s">
        <v>56</v>
      </c>
      <c r="B32" s="27">
        <v>74200</v>
      </c>
    </row>
    <row r="33" spans="1:2" x14ac:dyDescent="0.45">
      <c r="A33" s="6" t="s">
        <v>42</v>
      </c>
      <c r="B33" s="27">
        <v>57100</v>
      </c>
    </row>
    <row r="34" spans="1:2" x14ac:dyDescent="0.45">
      <c r="A34" s="6" t="s">
        <v>22</v>
      </c>
      <c r="B34" s="27">
        <v>35200</v>
      </c>
    </row>
    <row r="35" spans="1:2" x14ac:dyDescent="0.45">
      <c r="A35" s="6" t="s">
        <v>39</v>
      </c>
      <c r="B35" s="27">
        <v>42800</v>
      </c>
    </row>
    <row r="36" spans="1:2" x14ac:dyDescent="0.45">
      <c r="A36" s="6" t="s">
        <v>33</v>
      </c>
      <c r="B36" s="27">
        <v>46900</v>
      </c>
    </row>
    <row r="37" spans="1:2" x14ac:dyDescent="0.45">
      <c r="A37" s="6" t="s">
        <v>45</v>
      </c>
      <c r="B37" s="27">
        <v>80700</v>
      </c>
    </row>
    <row r="38" spans="1:2" x14ac:dyDescent="0.45">
      <c r="A38" s="6" t="s">
        <v>18</v>
      </c>
      <c r="B38" s="27">
        <v>36500</v>
      </c>
    </row>
    <row r="39" spans="1:2" x14ac:dyDescent="0.45">
      <c r="A39" s="6" t="s">
        <v>22</v>
      </c>
      <c r="B39" s="27">
        <v>31900</v>
      </c>
    </row>
    <row r="40" spans="1:2" x14ac:dyDescent="0.45">
      <c r="A40" s="6" t="s">
        <v>13</v>
      </c>
      <c r="B40" s="27">
        <v>52700</v>
      </c>
    </row>
    <row r="41" spans="1:2" x14ac:dyDescent="0.45">
      <c r="A41" s="6" t="s">
        <v>25</v>
      </c>
      <c r="B41" s="27">
        <v>61400</v>
      </c>
    </row>
    <row r="42" spans="1:2" x14ac:dyDescent="0.45">
      <c r="A42" s="6" t="s">
        <v>30</v>
      </c>
      <c r="B42" s="27">
        <v>79300</v>
      </c>
    </row>
    <row r="43" spans="1:2" x14ac:dyDescent="0.45">
      <c r="A43" s="6" t="s">
        <v>33</v>
      </c>
      <c r="B43" s="27">
        <v>49000</v>
      </c>
    </row>
    <row r="44" spans="1:2" x14ac:dyDescent="0.45">
      <c r="A44" s="6" t="s">
        <v>39</v>
      </c>
      <c r="B44" s="27">
        <v>44800</v>
      </c>
    </row>
    <row r="45" spans="1:2" x14ac:dyDescent="0.45">
      <c r="A45" s="6" t="s">
        <v>22</v>
      </c>
      <c r="B45" s="27">
        <v>29700</v>
      </c>
    </row>
    <row r="46" spans="1:2" x14ac:dyDescent="0.45">
      <c r="A46" s="6" t="s">
        <v>18</v>
      </c>
      <c r="B46" s="27">
        <v>39700</v>
      </c>
    </row>
    <row r="47" spans="1:2" x14ac:dyDescent="0.45">
      <c r="A47" s="6" t="s">
        <v>13</v>
      </c>
      <c r="B47" s="27">
        <v>52500</v>
      </c>
    </row>
    <row r="48" spans="1:2" x14ac:dyDescent="0.45">
      <c r="A48" s="6" t="s">
        <v>56</v>
      </c>
      <c r="B48" s="27">
        <v>73500</v>
      </c>
    </row>
    <row r="49" spans="1:2" x14ac:dyDescent="0.45">
      <c r="A49" s="6" t="s">
        <v>42</v>
      </c>
      <c r="B49" s="27">
        <v>57800</v>
      </c>
    </row>
    <row r="50" spans="1:2" x14ac:dyDescent="0.45">
      <c r="A50" s="6" t="s">
        <v>22</v>
      </c>
      <c r="B50" s="27">
        <v>34900</v>
      </c>
    </row>
    <row r="51" spans="1:2" x14ac:dyDescent="0.45">
      <c r="A51" s="6" t="s">
        <v>39</v>
      </c>
      <c r="B51" s="27">
        <v>44400</v>
      </c>
    </row>
    <row r="52" spans="1:2" x14ac:dyDescent="0.45">
      <c r="A52" s="6" t="s">
        <v>33</v>
      </c>
      <c r="B52" s="27">
        <v>46000</v>
      </c>
    </row>
    <row r="53" spans="1:2" x14ac:dyDescent="0.45">
      <c r="A53" s="6" t="s">
        <v>45</v>
      </c>
      <c r="B53" s="27">
        <v>84800</v>
      </c>
    </row>
    <row r="54" spans="1:2" x14ac:dyDescent="0.45">
      <c r="A54" s="6" t="s">
        <v>18</v>
      </c>
      <c r="B54" s="27">
        <v>39300</v>
      </c>
    </row>
    <row r="55" spans="1:2" x14ac:dyDescent="0.45">
      <c r="A55" s="6" t="s">
        <v>22</v>
      </c>
      <c r="B55" s="27">
        <v>29000</v>
      </c>
    </row>
    <row r="56" spans="1:2" x14ac:dyDescent="0.45">
      <c r="A56" s="6" t="s">
        <v>13</v>
      </c>
      <c r="B56" s="27">
        <v>53900</v>
      </c>
    </row>
    <row r="57" spans="1:2" x14ac:dyDescent="0.45">
      <c r="A57" s="6" t="s">
        <v>25</v>
      </c>
      <c r="B57" s="27">
        <v>63600</v>
      </c>
    </row>
    <row r="58" spans="1:2" x14ac:dyDescent="0.45">
      <c r="A58" s="6" t="s">
        <v>30</v>
      </c>
      <c r="B58" s="27">
        <v>77000</v>
      </c>
    </row>
    <row r="59" spans="1:2" x14ac:dyDescent="0.45">
      <c r="A59" s="6" t="s">
        <v>33</v>
      </c>
      <c r="B59" s="27">
        <v>49700</v>
      </c>
    </row>
    <row r="60" spans="1:2" x14ac:dyDescent="0.45">
      <c r="A60" s="6" t="s">
        <v>39</v>
      </c>
      <c r="B60" s="27">
        <v>43000</v>
      </c>
    </row>
    <row r="61" spans="1:2" x14ac:dyDescent="0.45">
      <c r="A61" s="6" t="s">
        <v>22</v>
      </c>
      <c r="B61" s="27">
        <v>36200</v>
      </c>
    </row>
    <row r="62" spans="1:2" x14ac:dyDescent="0.45">
      <c r="A62" s="6" t="s">
        <v>56</v>
      </c>
      <c r="B62" s="27">
        <v>70800</v>
      </c>
    </row>
    <row r="63" spans="1:2" x14ac:dyDescent="0.45">
      <c r="A63" s="6" t="s">
        <v>42</v>
      </c>
      <c r="B63" s="27">
        <v>55700</v>
      </c>
    </row>
    <row r="64" spans="1:2" x14ac:dyDescent="0.45">
      <c r="A64" s="6" t="s">
        <v>45</v>
      </c>
      <c r="B64" s="27">
        <v>83600</v>
      </c>
    </row>
    <row r="65" spans="1:2" x14ac:dyDescent="0.45">
      <c r="A65" s="6" t="s">
        <v>18</v>
      </c>
      <c r="B65" s="27">
        <v>39800</v>
      </c>
    </row>
    <row r="66" spans="1:2" x14ac:dyDescent="0.45">
      <c r="A66" s="6" t="s">
        <v>13</v>
      </c>
      <c r="B66" s="27">
        <v>51400</v>
      </c>
    </row>
    <row r="67" spans="1:2" x14ac:dyDescent="0.45">
      <c r="A67" s="6" t="s">
        <v>25</v>
      </c>
      <c r="B67" s="27">
        <v>63100</v>
      </c>
    </row>
    <row r="68" spans="1:2" x14ac:dyDescent="0.45">
      <c r="A68" s="6" t="s">
        <v>30</v>
      </c>
      <c r="B68" s="27">
        <v>76300</v>
      </c>
    </row>
    <row r="69" spans="1:2" x14ac:dyDescent="0.45">
      <c r="A69" s="6" t="s">
        <v>33</v>
      </c>
      <c r="B69" s="27">
        <v>47800</v>
      </c>
    </row>
    <row r="70" spans="1:2" x14ac:dyDescent="0.45">
      <c r="A70" s="6" t="s">
        <v>39</v>
      </c>
      <c r="B70" s="27">
        <v>41500</v>
      </c>
    </row>
    <row r="71" spans="1:2" x14ac:dyDescent="0.45">
      <c r="A71" s="6" t="s">
        <v>22</v>
      </c>
      <c r="B71" s="27">
        <v>33600</v>
      </c>
    </row>
    <row r="72" spans="1:2" x14ac:dyDescent="0.45">
      <c r="A72" s="6" t="s">
        <v>18</v>
      </c>
      <c r="B72" s="27">
        <v>37000</v>
      </c>
    </row>
    <row r="73" spans="1:2" x14ac:dyDescent="0.45">
      <c r="A73" s="6" t="s">
        <v>42</v>
      </c>
      <c r="B73" s="27">
        <v>56700</v>
      </c>
    </row>
    <row r="74" spans="1:2" x14ac:dyDescent="0.45">
      <c r="A74" s="6" t="s">
        <v>45</v>
      </c>
      <c r="B74" s="27">
        <v>84700</v>
      </c>
    </row>
    <row r="75" spans="1:2" x14ac:dyDescent="0.45">
      <c r="A75" s="6" t="s">
        <v>13</v>
      </c>
      <c r="B75" s="27">
        <v>51300</v>
      </c>
    </row>
    <row r="76" spans="1:2" x14ac:dyDescent="0.45">
      <c r="A76" s="6" t="s">
        <v>56</v>
      </c>
      <c r="B76" s="27">
        <v>74800</v>
      </c>
    </row>
    <row r="77" spans="1:2" x14ac:dyDescent="0.45">
      <c r="A77" s="6" t="s">
        <v>30</v>
      </c>
      <c r="B77" s="27">
        <v>78400</v>
      </c>
    </row>
    <row r="78" spans="1:2" x14ac:dyDescent="0.45">
      <c r="A78" s="6" t="s">
        <v>33</v>
      </c>
      <c r="B78" s="27">
        <v>48300</v>
      </c>
    </row>
    <row r="79" spans="1:2" x14ac:dyDescent="0.45">
      <c r="A79" s="6" t="s">
        <v>39</v>
      </c>
      <c r="B79" s="27">
        <v>42100</v>
      </c>
    </row>
    <row r="80" spans="1:2" x14ac:dyDescent="0.45">
      <c r="A80" s="6" t="s">
        <v>22</v>
      </c>
      <c r="B80" s="27">
        <v>36000</v>
      </c>
    </row>
    <row r="81" spans="1:2" x14ac:dyDescent="0.45">
      <c r="A81" s="6" t="s">
        <v>18</v>
      </c>
      <c r="B81" s="27">
        <v>37700</v>
      </c>
    </row>
    <row r="82" spans="1:2" x14ac:dyDescent="0.45">
      <c r="A82" s="6" t="s">
        <v>42</v>
      </c>
      <c r="B82" s="27">
        <v>56900</v>
      </c>
    </row>
    <row r="83" spans="1:2" x14ac:dyDescent="0.45">
      <c r="A83" s="6" t="s">
        <v>45</v>
      </c>
      <c r="B83" s="27">
        <v>81600</v>
      </c>
    </row>
    <row r="84" spans="1:2" x14ac:dyDescent="0.45">
      <c r="A84" s="6" t="s">
        <v>13</v>
      </c>
      <c r="B84" s="27">
        <v>51200</v>
      </c>
    </row>
    <row r="85" spans="1:2" x14ac:dyDescent="0.45">
      <c r="A85" s="6" t="s">
        <v>25</v>
      </c>
      <c r="B85" s="27">
        <v>61400</v>
      </c>
    </row>
    <row r="86" spans="1:2" x14ac:dyDescent="0.45">
      <c r="A86" s="6" t="s">
        <v>30</v>
      </c>
      <c r="B86" s="27">
        <v>76700</v>
      </c>
    </row>
    <row r="87" spans="1:2" x14ac:dyDescent="0.45">
      <c r="A87" s="6" t="s">
        <v>33</v>
      </c>
      <c r="B87" s="27">
        <v>49800</v>
      </c>
    </row>
    <row r="88" spans="1:2" x14ac:dyDescent="0.45">
      <c r="A88" s="6" t="s">
        <v>39</v>
      </c>
      <c r="B88" s="27">
        <v>43000</v>
      </c>
    </row>
    <row r="89" spans="1:2" x14ac:dyDescent="0.45">
      <c r="A89" s="6" t="s">
        <v>22</v>
      </c>
      <c r="B89" s="27">
        <v>36200</v>
      </c>
    </row>
    <row r="90" spans="1:2" x14ac:dyDescent="0.45">
      <c r="A90" s="6" t="s">
        <v>18</v>
      </c>
      <c r="B90" s="27">
        <v>36400</v>
      </c>
    </row>
    <row r="91" spans="1:2" x14ac:dyDescent="0.45">
      <c r="A91" s="6" t="s">
        <v>13</v>
      </c>
      <c r="B91" s="27">
        <v>54900</v>
      </c>
    </row>
    <row r="92" spans="1:2" x14ac:dyDescent="0.45">
      <c r="A92" s="6" t="s">
        <v>56</v>
      </c>
      <c r="B92" s="27">
        <v>74200</v>
      </c>
    </row>
    <row r="93" spans="1:2" x14ac:dyDescent="0.45">
      <c r="A93" s="6" t="s">
        <v>42</v>
      </c>
      <c r="B93" s="27">
        <v>58700</v>
      </c>
    </row>
    <row r="94" spans="1:2" x14ac:dyDescent="0.45">
      <c r="A94" s="6" t="s">
        <v>45</v>
      </c>
      <c r="B94" s="27">
        <v>81100</v>
      </c>
    </row>
    <row r="95" spans="1:2" x14ac:dyDescent="0.45">
      <c r="A95" s="6" t="s">
        <v>18</v>
      </c>
      <c r="B95" s="27">
        <v>38300</v>
      </c>
    </row>
    <row r="96" spans="1:2" x14ac:dyDescent="0.45">
      <c r="A96" s="6" t="s">
        <v>13</v>
      </c>
      <c r="B96" s="27">
        <v>51100</v>
      </c>
    </row>
    <row r="97" spans="1:2" x14ac:dyDescent="0.45">
      <c r="A97" s="6" t="s">
        <v>25</v>
      </c>
      <c r="B97" s="27">
        <v>63500</v>
      </c>
    </row>
    <row r="98" spans="1:2" x14ac:dyDescent="0.45">
      <c r="A98" s="6" t="s">
        <v>30</v>
      </c>
      <c r="B98" s="27">
        <v>78900</v>
      </c>
    </row>
    <row r="99" spans="1:2" x14ac:dyDescent="0.45">
      <c r="A99" s="6" t="s">
        <v>33</v>
      </c>
      <c r="B99" s="27">
        <v>46000</v>
      </c>
    </row>
    <row r="100" spans="1:2" x14ac:dyDescent="0.45">
      <c r="A100" s="6" t="s">
        <v>39</v>
      </c>
      <c r="B100" s="27">
        <v>44400</v>
      </c>
    </row>
    <row r="101" spans="1:2" x14ac:dyDescent="0.45">
      <c r="A101" s="6" t="s">
        <v>22</v>
      </c>
      <c r="B101" s="27">
        <v>36200</v>
      </c>
    </row>
    <row r="102" spans="1:2" x14ac:dyDescent="0.45">
      <c r="A102" s="6" t="s">
        <v>18</v>
      </c>
      <c r="B102" s="27">
        <v>38800</v>
      </c>
    </row>
    <row r="103" spans="1:2" x14ac:dyDescent="0.45">
      <c r="A103" s="6" t="s">
        <v>42</v>
      </c>
      <c r="B103" s="27">
        <v>57800</v>
      </c>
    </row>
    <row r="104" spans="1:2" x14ac:dyDescent="0.45">
      <c r="A104" s="6" t="s">
        <v>45</v>
      </c>
      <c r="B104" s="27">
        <v>82800</v>
      </c>
    </row>
    <row r="105" spans="1:2" x14ac:dyDescent="0.45">
      <c r="A105" s="6" t="s">
        <v>13</v>
      </c>
      <c r="B105" s="27">
        <v>53900</v>
      </c>
    </row>
    <row r="106" spans="1:2" x14ac:dyDescent="0.45">
      <c r="A106" s="6" t="s">
        <v>56</v>
      </c>
      <c r="B106" s="27">
        <v>73900</v>
      </c>
    </row>
    <row r="107" spans="1:2" x14ac:dyDescent="0.45">
      <c r="A107" s="6" t="s">
        <v>30</v>
      </c>
      <c r="B107" s="27">
        <v>76100</v>
      </c>
    </row>
    <row r="108" spans="1:2" x14ac:dyDescent="0.45">
      <c r="A108" s="6" t="s">
        <v>33</v>
      </c>
      <c r="B108" s="27">
        <v>45500</v>
      </c>
    </row>
    <row r="109" spans="1:2" x14ac:dyDescent="0.45">
      <c r="A109" s="6" t="s">
        <v>39</v>
      </c>
      <c r="B109" s="27">
        <v>44600</v>
      </c>
    </row>
    <row r="110" spans="1:2" x14ac:dyDescent="0.45">
      <c r="A110" s="6" t="s">
        <v>22</v>
      </c>
      <c r="B110" s="27">
        <v>36100</v>
      </c>
    </row>
    <row r="111" spans="1:2" x14ac:dyDescent="0.45">
      <c r="A111" s="6" t="s">
        <v>18</v>
      </c>
      <c r="B111" s="27">
        <v>35500</v>
      </c>
    </row>
    <row r="112" spans="1:2" x14ac:dyDescent="0.45">
      <c r="A112" s="6" t="s">
        <v>42</v>
      </c>
      <c r="B112" s="27">
        <v>58000</v>
      </c>
    </row>
    <row r="113" spans="1:2" x14ac:dyDescent="0.45">
      <c r="A113" s="6" t="s">
        <v>45</v>
      </c>
      <c r="B113" s="27">
        <v>81400</v>
      </c>
    </row>
    <row r="114" spans="1:2" x14ac:dyDescent="0.45">
      <c r="A114" s="6" t="s">
        <v>13</v>
      </c>
      <c r="B114" s="27">
        <v>51000</v>
      </c>
    </row>
    <row r="115" spans="1:2" x14ac:dyDescent="0.45">
      <c r="A115" s="6" t="s">
        <v>25</v>
      </c>
      <c r="B115" s="27">
        <v>61600</v>
      </c>
    </row>
    <row r="116" spans="1:2" x14ac:dyDescent="0.45">
      <c r="A116" s="6" t="s">
        <v>30</v>
      </c>
      <c r="B116" s="27">
        <v>77100</v>
      </c>
    </row>
    <row r="117" spans="1:2" x14ac:dyDescent="0.45">
      <c r="A117" s="6" t="s">
        <v>33</v>
      </c>
      <c r="B117" s="27">
        <v>47900</v>
      </c>
    </row>
    <row r="118" spans="1:2" x14ac:dyDescent="0.45">
      <c r="A118" s="6" t="s">
        <v>39</v>
      </c>
      <c r="B118" s="27">
        <v>43000</v>
      </c>
    </row>
    <row r="119" spans="1:2" x14ac:dyDescent="0.45">
      <c r="A119" s="6" t="s">
        <v>22</v>
      </c>
      <c r="B119" s="27">
        <v>35100</v>
      </c>
    </row>
    <row r="120" spans="1:2" x14ac:dyDescent="0.45">
      <c r="A120" s="6" t="s">
        <v>18</v>
      </c>
      <c r="B120" s="27">
        <v>39700</v>
      </c>
    </row>
    <row r="121" spans="1:2" x14ac:dyDescent="0.45">
      <c r="A121" s="6" t="s">
        <v>42</v>
      </c>
      <c r="B121" s="27">
        <v>59200</v>
      </c>
    </row>
    <row r="122" spans="1:2" x14ac:dyDescent="0.45">
      <c r="A122" s="6" t="s">
        <v>45</v>
      </c>
      <c r="B122" s="27">
        <v>85000</v>
      </c>
    </row>
    <row r="123" spans="1:2" x14ac:dyDescent="0.45">
      <c r="A123" s="6" t="s">
        <v>13</v>
      </c>
      <c r="B123" s="27">
        <v>52700</v>
      </c>
    </row>
    <row r="124" spans="1:2" x14ac:dyDescent="0.45">
      <c r="A124" s="6" t="s">
        <v>56</v>
      </c>
      <c r="B124" s="27">
        <v>74900</v>
      </c>
    </row>
    <row r="125" spans="1:2" x14ac:dyDescent="0.45">
      <c r="A125" s="6" t="s">
        <v>30</v>
      </c>
      <c r="B125" s="27">
        <v>77500</v>
      </c>
    </row>
    <row r="126" spans="1:2" x14ac:dyDescent="0.45">
      <c r="A126" s="6" t="s">
        <v>33</v>
      </c>
      <c r="B126" s="27">
        <v>45900</v>
      </c>
    </row>
    <row r="127" spans="1:2" x14ac:dyDescent="0.45">
      <c r="A127" s="6" t="s">
        <v>39</v>
      </c>
      <c r="B127" s="27">
        <v>45000</v>
      </c>
    </row>
    <row r="128" spans="1:2" x14ac:dyDescent="0.45">
      <c r="A128" s="6" t="s">
        <v>22</v>
      </c>
      <c r="B128" s="27">
        <v>33100</v>
      </c>
    </row>
    <row r="129" spans="1:2" x14ac:dyDescent="0.45">
      <c r="A129" s="6" t="s">
        <v>18</v>
      </c>
      <c r="B129" s="27">
        <v>37600</v>
      </c>
    </row>
    <row r="130" spans="1:2" x14ac:dyDescent="0.45">
      <c r="A130" s="6" t="s">
        <v>42</v>
      </c>
      <c r="B130" s="27">
        <v>58300</v>
      </c>
    </row>
    <row r="131" spans="1:2" x14ac:dyDescent="0.45">
      <c r="A131" s="6" t="s">
        <v>45</v>
      </c>
      <c r="B131" s="27">
        <v>83900</v>
      </c>
    </row>
    <row r="132" spans="1:2" x14ac:dyDescent="0.45">
      <c r="A132" s="6" t="s">
        <v>13</v>
      </c>
      <c r="B132" s="27">
        <v>51100</v>
      </c>
    </row>
    <row r="133" spans="1:2" x14ac:dyDescent="0.45">
      <c r="A133" s="6" t="s">
        <v>25</v>
      </c>
      <c r="B133" s="27">
        <v>62900</v>
      </c>
    </row>
    <row r="134" spans="1:2" x14ac:dyDescent="0.45">
      <c r="A134" s="6" t="s">
        <v>30</v>
      </c>
      <c r="B134" s="27">
        <v>79200</v>
      </c>
    </row>
    <row r="135" spans="1:2" x14ac:dyDescent="0.45">
      <c r="A135" s="6" t="s">
        <v>33</v>
      </c>
      <c r="B135" s="27">
        <v>47000</v>
      </c>
    </row>
    <row r="136" spans="1:2" x14ac:dyDescent="0.45">
      <c r="A136" s="6" t="s">
        <v>39</v>
      </c>
      <c r="B136" s="27">
        <v>42400</v>
      </c>
    </row>
    <row r="137" spans="1:2" x14ac:dyDescent="0.45">
      <c r="A137" s="6" t="s">
        <v>22</v>
      </c>
      <c r="B137" s="27">
        <v>33800</v>
      </c>
    </row>
    <row r="138" spans="1:2" x14ac:dyDescent="0.45">
      <c r="A138" s="6" t="s">
        <v>18</v>
      </c>
      <c r="B138" s="27">
        <v>36000</v>
      </c>
    </row>
    <row r="139" spans="1:2" x14ac:dyDescent="0.45">
      <c r="A139" s="6" t="s">
        <v>42</v>
      </c>
      <c r="B139" s="27">
        <v>58500</v>
      </c>
    </row>
    <row r="140" spans="1:2" x14ac:dyDescent="0.45">
      <c r="A140" s="6" t="s">
        <v>45</v>
      </c>
      <c r="B140" s="27">
        <v>83200</v>
      </c>
    </row>
    <row r="141" spans="1:2" x14ac:dyDescent="0.45">
      <c r="A141" s="6" t="s">
        <v>13</v>
      </c>
      <c r="B141" s="27">
        <v>51100</v>
      </c>
    </row>
    <row r="142" spans="1:2" x14ac:dyDescent="0.45">
      <c r="A142" s="6" t="s">
        <v>56</v>
      </c>
      <c r="B142" s="27">
        <v>73200</v>
      </c>
    </row>
    <row r="143" spans="1:2" x14ac:dyDescent="0.45">
      <c r="A143" s="6" t="s">
        <v>30</v>
      </c>
      <c r="B143" s="27">
        <v>77800</v>
      </c>
    </row>
    <row r="144" spans="1:2" x14ac:dyDescent="0.45">
      <c r="A144" s="6" t="s">
        <v>33</v>
      </c>
      <c r="B144" s="27">
        <v>45500</v>
      </c>
    </row>
    <row r="145" spans="1:2" x14ac:dyDescent="0.45">
      <c r="A145" s="6" t="s">
        <v>39</v>
      </c>
      <c r="B145" s="27">
        <v>41800</v>
      </c>
    </row>
    <row r="146" spans="1:2" x14ac:dyDescent="0.45">
      <c r="A146" s="6" t="s">
        <v>22</v>
      </c>
      <c r="B146" s="27">
        <v>32600</v>
      </c>
    </row>
    <row r="147" spans="1:2" x14ac:dyDescent="0.45">
      <c r="A147" s="6" t="s">
        <v>18</v>
      </c>
      <c r="B147" s="27">
        <v>37600</v>
      </c>
    </row>
    <row r="148" spans="1:2" x14ac:dyDescent="0.45">
      <c r="A148" s="6" t="s">
        <v>42</v>
      </c>
      <c r="B148" s="27">
        <v>59500</v>
      </c>
    </row>
    <row r="149" spans="1:2" x14ac:dyDescent="0.45">
      <c r="A149" s="6" t="s">
        <v>45</v>
      </c>
      <c r="B149" s="27">
        <v>82400</v>
      </c>
    </row>
    <row r="150" spans="1:2" x14ac:dyDescent="0.45">
      <c r="A150" s="6" t="s">
        <v>13</v>
      </c>
      <c r="B150" s="27">
        <v>51300</v>
      </c>
    </row>
    <row r="151" spans="1:2" x14ac:dyDescent="0.45">
      <c r="A151" s="6" t="s">
        <v>25</v>
      </c>
      <c r="B151" s="27">
        <v>61200</v>
      </c>
    </row>
    <row r="152" spans="1:2" x14ac:dyDescent="0.45">
      <c r="A152" s="6" t="s">
        <v>30</v>
      </c>
      <c r="B152" s="27">
        <v>78200</v>
      </c>
    </row>
    <row r="153" spans="1:2" x14ac:dyDescent="0.45">
      <c r="A153" s="6" t="s">
        <v>33</v>
      </c>
      <c r="B153" s="27">
        <v>48100</v>
      </c>
    </row>
    <row r="154" spans="1:2" x14ac:dyDescent="0.45">
      <c r="A154" s="6" t="s">
        <v>39</v>
      </c>
      <c r="B154" s="27">
        <v>44000</v>
      </c>
    </row>
    <row r="155" spans="1:2" x14ac:dyDescent="0.45">
      <c r="A155" s="6" t="s">
        <v>22</v>
      </c>
      <c r="B155" s="27">
        <v>36000</v>
      </c>
    </row>
    <row r="156" spans="1:2" x14ac:dyDescent="0.45">
      <c r="A156" s="6" t="s">
        <v>18</v>
      </c>
      <c r="B156" s="27">
        <v>37400</v>
      </c>
    </row>
    <row r="157" spans="1:2" x14ac:dyDescent="0.45">
      <c r="A157" s="6" t="s">
        <v>42</v>
      </c>
      <c r="B157" s="27">
        <v>57100</v>
      </c>
    </row>
    <row r="158" spans="1:2" x14ac:dyDescent="0.45">
      <c r="A158" s="6" t="s">
        <v>45</v>
      </c>
      <c r="B158" s="27">
        <v>82300</v>
      </c>
    </row>
    <row r="159" spans="1:2" x14ac:dyDescent="0.45">
      <c r="A159" s="6" t="s">
        <v>13</v>
      </c>
      <c r="B159" s="27">
        <v>52900</v>
      </c>
    </row>
    <row r="160" spans="1:2" x14ac:dyDescent="0.45">
      <c r="A160" s="6" t="s">
        <v>56</v>
      </c>
      <c r="B160" s="27">
        <v>71100</v>
      </c>
    </row>
    <row r="161" spans="1:2" x14ac:dyDescent="0.45">
      <c r="A161" s="6" t="s">
        <v>30</v>
      </c>
      <c r="B161" s="27">
        <v>76900</v>
      </c>
    </row>
    <row r="162" spans="1:2" x14ac:dyDescent="0.45">
      <c r="A162" s="10" t="s">
        <v>33</v>
      </c>
      <c r="B162" s="28">
        <v>46400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BC15-D806-4E81-B3A9-A1FC0CDA511A}">
  <sheetPr>
    <tabColor theme="1" tint="4.9989318521683403E-2"/>
  </sheetPr>
  <dimension ref="A3:B11"/>
  <sheetViews>
    <sheetView workbookViewId="0">
      <selection activeCell="V29" sqref="V29"/>
    </sheetView>
  </sheetViews>
  <sheetFormatPr defaultRowHeight="18.5" x14ac:dyDescent="0.45"/>
  <cols>
    <col min="1" max="1" width="11.92578125" bestFit="1" customWidth="1"/>
    <col min="2" max="2" width="14.35546875" bestFit="1" customWidth="1"/>
  </cols>
  <sheetData>
    <row r="3" spans="1:2" x14ac:dyDescent="0.45">
      <c r="A3" s="13" t="s">
        <v>335</v>
      </c>
      <c r="B3" t="s">
        <v>347</v>
      </c>
    </row>
    <row r="4" spans="1:2" x14ac:dyDescent="0.45">
      <c r="A4" s="14" t="s">
        <v>340</v>
      </c>
      <c r="B4" s="37">
        <v>10</v>
      </c>
    </row>
    <row r="5" spans="1:2" x14ac:dyDescent="0.45">
      <c r="A5" s="14" t="s">
        <v>341</v>
      </c>
      <c r="B5" s="37">
        <v>23</v>
      </c>
    </row>
    <row r="6" spans="1:2" x14ac:dyDescent="0.45">
      <c r="A6" s="14" t="s">
        <v>342</v>
      </c>
      <c r="B6" s="37">
        <v>29</v>
      </c>
    </row>
    <row r="7" spans="1:2" x14ac:dyDescent="0.45">
      <c r="A7" s="14" t="s">
        <v>343</v>
      </c>
      <c r="B7" s="37">
        <v>29</v>
      </c>
    </row>
    <row r="8" spans="1:2" x14ac:dyDescent="0.45">
      <c r="A8" s="14" t="s">
        <v>344</v>
      </c>
      <c r="B8" s="37">
        <v>27</v>
      </c>
    </row>
    <row r="9" spans="1:2" x14ac:dyDescent="0.45">
      <c r="A9" s="14" t="s">
        <v>345</v>
      </c>
      <c r="B9" s="37">
        <v>23</v>
      </c>
    </row>
    <row r="10" spans="1:2" x14ac:dyDescent="0.45">
      <c r="A10" s="14" t="s">
        <v>346</v>
      </c>
      <c r="B10" s="37">
        <v>20</v>
      </c>
    </row>
    <row r="11" spans="1:2" x14ac:dyDescent="0.45">
      <c r="A11" s="14" t="s">
        <v>336</v>
      </c>
      <c r="B11" s="37">
        <v>161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7435-32CA-4E8B-B4AD-D36A2A66B8B9}">
  <sheetPr>
    <tabColor theme="1" tint="4.9989318521683403E-2"/>
  </sheetPr>
  <dimension ref="A3:B15"/>
  <sheetViews>
    <sheetView workbookViewId="0">
      <selection activeCell="A3" sqref="A3"/>
    </sheetView>
  </sheetViews>
  <sheetFormatPr defaultRowHeight="18.5" x14ac:dyDescent="0.45"/>
  <cols>
    <col min="1" max="1" width="12.85546875" bestFit="1" customWidth="1"/>
    <col min="2" max="2" width="18.92578125" bestFit="1" customWidth="1"/>
    <col min="3" max="3" width="12.42578125" bestFit="1" customWidth="1"/>
    <col min="4" max="4" width="10.92578125" bestFit="1" customWidth="1"/>
    <col min="5" max="5" width="12.140625" bestFit="1" customWidth="1"/>
    <col min="6" max="6" width="10.140625" bestFit="1" customWidth="1"/>
    <col min="7" max="7" width="11.640625" bestFit="1" customWidth="1"/>
    <col min="8" max="8" width="12.92578125" bestFit="1" customWidth="1"/>
    <col min="9" max="10" width="12.640625" bestFit="1" customWidth="1"/>
    <col min="11" max="11" width="12.140625" bestFit="1" customWidth="1"/>
    <col min="12" max="12" width="13.0703125" bestFit="1" customWidth="1"/>
    <col min="13" max="13" width="13.28515625" bestFit="1" customWidth="1"/>
    <col min="14" max="14" width="12.7109375" bestFit="1" customWidth="1"/>
    <col min="15" max="15" width="10.42578125" bestFit="1" customWidth="1"/>
    <col min="16" max="16" width="17.85546875" bestFit="1" customWidth="1"/>
    <col min="17" max="17" width="13.35546875" bestFit="1" customWidth="1"/>
    <col min="18" max="18" width="15.5703125" bestFit="1" customWidth="1"/>
    <col min="19" max="19" width="11.5703125" bestFit="1" customWidth="1"/>
    <col min="20" max="20" width="14" bestFit="1" customWidth="1"/>
    <col min="21" max="21" width="12.0703125" bestFit="1" customWidth="1"/>
    <col min="22" max="22" width="10" bestFit="1" customWidth="1"/>
    <col min="23" max="23" width="10.42578125" bestFit="1" customWidth="1"/>
    <col min="24" max="24" width="10.5" bestFit="1" customWidth="1"/>
    <col min="25" max="25" width="16.0703125" bestFit="1" customWidth="1"/>
    <col min="26" max="26" width="12.85546875" bestFit="1" customWidth="1"/>
    <col min="27" max="27" width="9.0703125" bestFit="1" customWidth="1"/>
    <col min="28" max="28" width="13.78515625" bestFit="1" customWidth="1"/>
    <col min="29" max="29" width="11.78515625" bestFit="1" customWidth="1"/>
    <col min="30" max="30" width="11.42578125" bestFit="1" customWidth="1"/>
    <col min="31" max="31" width="15.5" bestFit="1" customWidth="1"/>
    <col min="32" max="32" width="12.42578125" bestFit="1" customWidth="1"/>
    <col min="33" max="33" width="10.42578125" bestFit="1" customWidth="1"/>
    <col min="34" max="34" width="13.35546875" bestFit="1" customWidth="1"/>
    <col min="35" max="35" width="8" bestFit="1" customWidth="1"/>
    <col min="36" max="36" width="10.140625" bestFit="1" customWidth="1"/>
    <col min="37" max="37" width="12.5" bestFit="1" customWidth="1"/>
    <col min="38" max="38" width="11.5" bestFit="1" customWidth="1"/>
    <col min="39" max="39" width="11.42578125" bestFit="1" customWidth="1"/>
    <col min="40" max="40" width="16.7109375" bestFit="1" customWidth="1"/>
    <col min="41" max="41" width="12" bestFit="1" customWidth="1"/>
    <col min="42" max="42" width="13" bestFit="1" customWidth="1"/>
    <col min="43" max="43" width="10.28515625" bestFit="1" customWidth="1"/>
    <col min="44" max="44" width="18.35546875" bestFit="1" customWidth="1"/>
    <col min="45" max="45" width="11.28515625" bestFit="1" customWidth="1"/>
    <col min="46" max="46" width="10.5703125" bestFit="1" customWidth="1"/>
    <col min="47" max="47" width="8.5" bestFit="1" customWidth="1"/>
    <col min="48" max="48" width="12.5" bestFit="1" customWidth="1"/>
    <col min="49" max="49" width="15.5" bestFit="1" customWidth="1"/>
    <col min="50" max="50" width="13.28515625" bestFit="1" customWidth="1"/>
    <col min="51" max="51" width="15.5" bestFit="1" customWidth="1"/>
    <col min="52" max="52" width="11" bestFit="1" customWidth="1"/>
    <col min="53" max="53" width="8.85546875" bestFit="1" customWidth="1"/>
    <col min="54" max="54" width="12.85546875" bestFit="1" customWidth="1"/>
    <col min="55" max="55" width="11.85546875" bestFit="1" customWidth="1"/>
    <col min="56" max="56" width="16.92578125" bestFit="1" customWidth="1"/>
    <col min="57" max="57" width="13.0703125" bestFit="1" customWidth="1"/>
    <col min="58" max="58" width="12.7109375" bestFit="1" customWidth="1"/>
    <col min="59" max="59" width="10.7109375" bestFit="1" customWidth="1"/>
    <col min="60" max="60" width="11.85546875" bestFit="1" customWidth="1"/>
    <col min="61" max="61" width="14.640625" bestFit="1" customWidth="1"/>
    <col min="62" max="62" width="15.0703125" bestFit="1" customWidth="1"/>
    <col min="63" max="63" width="15.140625" bestFit="1" customWidth="1"/>
    <col min="64" max="64" width="10.5703125" bestFit="1" customWidth="1"/>
    <col min="65" max="65" width="9.35546875" bestFit="1" customWidth="1"/>
    <col min="66" max="66" width="12.42578125" bestFit="1" customWidth="1"/>
    <col min="67" max="67" width="11.85546875" bestFit="1" customWidth="1"/>
    <col min="68" max="68" width="19.92578125" bestFit="1" customWidth="1"/>
    <col min="69" max="69" width="11.640625" bestFit="1" customWidth="1"/>
    <col min="70" max="70" width="13.92578125" bestFit="1" customWidth="1"/>
    <col min="71" max="71" width="13.5703125" bestFit="1" customWidth="1"/>
    <col min="72" max="72" width="11.5703125" bestFit="1" customWidth="1"/>
    <col min="73" max="73" width="9.640625" bestFit="1" customWidth="1"/>
    <col min="74" max="74" width="11.28515625" bestFit="1" customWidth="1"/>
    <col min="75" max="75" width="10.42578125" bestFit="1" customWidth="1"/>
    <col min="76" max="76" width="15.2109375" bestFit="1" customWidth="1"/>
    <col min="77" max="77" width="11.0703125" bestFit="1" customWidth="1"/>
    <col min="78" max="78" width="11.28515625" bestFit="1" customWidth="1"/>
    <col min="79" max="79" width="12.0703125" bestFit="1" customWidth="1"/>
    <col min="80" max="80" width="12.5" bestFit="1" customWidth="1"/>
    <col min="81" max="81" width="11.35546875" bestFit="1" customWidth="1"/>
    <col min="82" max="82" width="10.0703125" bestFit="1" customWidth="1"/>
    <col min="83" max="83" width="9.92578125" bestFit="1" customWidth="1"/>
    <col min="84" max="84" width="10.92578125" bestFit="1" customWidth="1"/>
    <col min="85" max="85" width="14.640625" bestFit="1" customWidth="1"/>
    <col min="86" max="86" width="9.5703125" bestFit="1" customWidth="1"/>
    <col min="87" max="87" width="15.140625" bestFit="1" customWidth="1"/>
    <col min="88" max="88" width="10.7109375" bestFit="1" customWidth="1"/>
    <col min="89" max="89" width="11.0703125" bestFit="1" customWidth="1"/>
    <col min="90" max="90" width="12.140625" bestFit="1" customWidth="1"/>
    <col min="91" max="91" width="11.5703125" bestFit="1" customWidth="1"/>
    <col min="92" max="92" width="11" bestFit="1" customWidth="1"/>
    <col min="93" max="93" width="11.2109375" bestFit="1" customWidth="1"/>
    <col min="94" max="94" width="12" bestFit="1" customWidth="1"/>
    <col min="95" max="95" width="15.35546875" bestFit="1" customWidth="1"/>
    <col min="96" max="96" width="17.42578125" bestFit="1" customWidth="1"/>
    <col min="97" max="97" width="14.28515625" bestFit="1" customWidth="1"/>
    <col min="98" max="98" width="13.85546875" bestFit="1" customWidth="1"/>
    <col min="99" max="99" width="14.5" bestFit="1" customWidth="1"/>
    <col min="100" max="100" width="13.7109375" bestFit="1" customWidth="1"/>
    <col min="101" max="101" width="15.0703125" bestFit="1" customWidth="1"/>
    <col min="102" max="102" width="13.35546875" bestFit="1" customWidth="1"/>
    <col min="103" max="103" width="12.85546875" bestFit="1" customWidth="1"/>
    <col min="104" max="104" width="14.2109375" bestFit="1" customWidth="1"/>
    <col min="105" max="105" width="12.5703125" bestFit="1" customWidth="1"/>
    <col min="106" max="106" width="11.92578125" bestFit="1" customWidth="1"/>
    <col min="107" max="107" width="12.35546875" bestFit="1" customWidth="1"/>
    <col min="108" max="108" width="12.5703125" bestFit="1" customWidth="1"/>
    <col min="109" max="109" width="9.5" bestFit="1" customWidth="1"/>
    <col min="110" max="110" width="10.28515625" bestFit="1" customWidth="1"/>
    <col min="111" max="111" width="11.35546875" bestFit="1" customWidth="1"/>
    <col min="112" max="112" width="10.7109375" bestFit="1" customWidth="1"/>
    <col min="113" max="113" width="9.640625" bestFit="1" customWidth="1"/>
    <col min="114" max="114" width="10" bestFit="1" customWidth="1"/>
    <col min="115" max="115" width="10.85546875" bestFit="1" customWidth="1"/>
    <col min="116" max="116" width="16.78515625" bestFit="1" customWidth="1"/>
    <col min="117" max="117" width="11.35546875" bestFit="1" customWidth="1"/>
    <col min="118" max="118" width="16.0703125" bestFit="1" customWidth="1"/>
    <col min="119" max="119" width="12.42578125" bestFit="1" customWidth="1"/>
    <col min="120" max="120" width="10.85546875" bestFit="1" customWidth="1"/>
    <col min="121" max="121" width="13.28515625" bestFit="1" customWidth="1"/>
    <col min="122" max="122" width="11.35546875" bestFit="1" customWidth="1"/>
    <col min="123" max="124" width="14.92578125" bestFit="1" customWidth="1"/>
    <col min="125" max="125" width="11.28515625" bestFit="1" customWidth="1"/>
    <col min="126" max="126" width="12.28515625" bestFit="1" customWidth="1"/>
    <col min="127" max="127" width="11.640625" bestFit="1" customWidth="1"/>
    <col min="128" max="128" width="13.92578125" bestFit="1" customWidth="1"/>
    <col min="129" max="129" width="9.92578125" bestFit="1" customWidth="1"/>
    <col min="130" max="130" width="10.92578125" bestFit="1" customWidth="1"/>
    <col min="131" max="131" width="10.28515625" bestFit="1" customWidth="1"/>
    <col min="132" max="132" width="10.85546875" bestFit="1" customWidth="1"/>
    <col min="133" max="133" width="12.5" bestFit="1" customWidth="1"/>
    <col min="134" max="134" width="13.0703125" bestFit="1" customWidth="1"/>
    <col min="135" max="135" width="14.0703125" bestFit="1" customWidth="1"/>
    <col min="136" max="136" width="11" bestFit="1" customWidth="1"/>
    <col min="137" max="137" width="7.92578125" bestFit="1" customWidth="1"/>
    <col min="138" max="138" width="15.92578125" bestFit="1" customWidth="1"/>
    <col min="139" max="139" width="11" bestFit="1" customWidth="1"/>
    <col min="140" max="140" width="9.2109375" bestFit="1" customWidth="1"/>
    <col min="141" max="141" width="17.28515625" bestFit="1" customWidth="1"/>
    <col min="142" max="142" width="17" bestFit="1" customWidth="1"/>
    <col min="143" max="143" width="15.2109375" bestFit="1" customWidth="1"/>
    <col min="144" max="144" width="12.85546875" bestFit="1" customWidth="1"/>
    <col min="145" max="145" width="9.85546875" bestFit="1" customWidth="1"/>
    <col min="146" max="146" width="10" bestFit="1" customWidth="1"/>
    <col min="147" max="147" width="11" bestFit="1" customWidth="1"/>
    <col min="148" max="148" width="10.640625" bestFit="1" customWidth="1"/>
    <col min="149" max="149" width="10.42578125" bestFit="1" customWidth="1"/>
    <col min="150" max="150" width="10.640625" bestFit="1" customWidth="1"/>
  </cols>
  <sheetData>
    <row r="3" spans="1:2" x14ac:dyDescent="0.45">
      <c r="A3" s="13" t="s">
        <v>335</v>
      </c>
      <c r="B3" t="s">
        <v>339</v>
      </c>
    </row>
    <row r="4" spans="1:2" x14ac:dyDescent="0.45">
      <c r="A4" s="14" t="s">
        <v>257</v>
      </c>
      <c r="B4" s="37">
        <v>30</v>
      </c>
    </row>
    <row r="5" spans="1:2" x14ac:dyDescent="0.45">
      <c r="A5" s="14" t="s">
        <v>312</v>
      </c>
      <c r="B5" s="37">
        <v>37</v>
      </c>
    </row>
    <row r="6" spans="1:2" x14ac:dyDescent="0.45">
      <c r="A6" s="14" t="s">
        <v>136</v>
      </c>
      <c r="B6" s="37">
        <v>30</v>
      </c>
    </row>
    <row r="7" spans="1:2" x14ac:dyDescent="0.45">
      <c r="A7" s="14" t="s">
        <v>298</v>
      </c>
      <c r="B7" s="37">
        <v>38</v>
      </c>
    </row>
    <row r="8" spans="1:2" x14ac:dyDescent="0.45">
      <c r="A8" s="14" t="s">
        <v>221</v>
      </c>
      <c r="B8" s="37">
        <v>31</v>
      </c>
    </row>
    <row r="9" spans="1:2" x14ac:dyDescent="0.45">
      <c r="A9" s="14" t="s">
        <v>308</v>
      </c>
      <c r="B9" s="37">
        <v>31</v>
      </c>
    </row>
    <row r="10" spans="1:2" x14ac:dyDescent="0.45">
      <c r="A10" s="14" t="s">
        <v>300</v>
      </c>
      <c r="B10" s="37">
        <v>39</v>
      </c>
    </row>
    <row r="11" spans="1:2" x14ac:dyDescent="0.45">
      <c r="A11" s="14" t="s">
        <v>292</v>
      </c>
      <c r="B11" s="37">
        <v>38</v>
      </c>
    </row>
    <row r="12" spans="1:2" x14ac:dyDescent="0.45">
      <c r="A12" s="14" t="s">
        <v>120</v>
      </c>
      <c r="B12" s="37">
        <v>35</v>
      </c>
    </row>
    <row r="13" spans="1:2" x14ac:dyDescent="0.45">
      <c r="A13" s="14" t="s">
        <v>294</v>
      </c>
      <c r="B13" s="37">
        <v>34</v>
      </c>
    </row>
    <row r="14" spans="1:2" x14ac:dyDescent="0.45">
      <c r="A14" s="14" t="s">
        <v>251</v>
      </c>
      <c r="B14" s="37">
        <v>33</v>
      </c>
    </row>
    <row r="15" spans="1:2" x14ac:dyDescent="0.45">
      <c r="A15" s="14" t="s">
        <v>336</v>
      </c>
      <c r="B15" s="37">
        <v>376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315D-203E-455A-A081-864296A09176}">
  <sheetPr>
    <tabColor theme="1" tint="4.9989318521683403E-2"/>
  </sheetPr>
  <dimension ref="A3:B6"/>
  <sheetViews>
    <sheetView workbookViewId="0">
      <selection activeCell="E16" sqref="E16"/>
    </sheetView>
  </sheetViews>
  <sheetFormatPr defaultRowHeight="18.5" x14ac:dyDescent="0.45"/>
  <cols>
    <col min="1" max="1" width="11.92578125" bestFit="1" customWidth="1"/>
    <col min="2" max="2" width="10.5703125" bestFit="1" customWidth="1"/>
  </cols>
  <sheetData>
    <row r="3" spans="1:2" x14ac:dyDescent="0.45">
      <c r="A3" s="13" t="s">
        <v>335</v>
      </c>
      <c r="B3" t="s">
        <v>337</v>
      </c>
    </row>
    <row r="4" spans="1:2" x14ac:dyDescent="0.45">
      <c r="A4" s="14" t="s">
        <v>16</v>
      </c>
      <c r="B4" s="17">
        <v>7221</v>
      </c>
    </row>
    <row r="5" spans="1:2" x14ac:dyDescent="0.45">
      <c r="A5" s="14" t="s">
        <v>11</v>
      </c>
      <c r="B5" s="17">
        <v>5820</v>
      </c>
    </row>
    <row r="6" spans="1:2" x14ac:dyDescent="0.45">
      <c r="A6" s="14" t="s">
        <v>336</v>
      </c>
      <c r="B6" s="17">
        <v>13041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A2AF-D7FB-4904-B694-A444C7020233}">
  <sheetPr>
    <tabColor theme="1" tint="4.9989318521683403E-2"/>
  </sheetPr>
  <dimension ref="A3:B14"/>
  <sheetViews>
    <sheetView workbookViewId="0">
      <selection activeCell="B4" sqref="B4:B14"/>
    </sheetView>
  </sheetViews>
  <sheetFormatPr defaultRowHeight="18.5" x14ac:dyDescent="0.45"/>
  <cols>
    <col min="1" max="1" width="17.85546875" bestFit="1" customWidth="1"/>
    <col min="2" max="2" width="12.0703125" bestFit="1" customWidth="1"/>
    <col min="3" max="19" width="7.92578125" bestFit="1" customWidth="1"/>
    <col min="20" max="20" width="9.42578125" bestFit="1" customWidth="1"/>
    <col min="21" max="21" width="7.92578125" bestFit="1" customWidth="1"/>
    <col min="22" max="22" width="9.42578125" bestFit="1" customWidth="1"/>
    <col min="23" max="41" width="7.92578125" bestFit="1" customWidth="1"/>
    <col min="42" max="42" width="9.42578125" bestFit="1" customWidth="1"/>
    <col min="43" max="64" width="7.92578125" bestFit="1" customWidth="1"/>
    <col min="65" max="65" width="9.42578125" bestFit="1" customWidth="1"/>
    <col min="66" max="66" width="7.92578125" bestFit="1" customWidth="1"/>
    <col min="67" max="67" width="9.42578125" bestFit="1" customWidth="1"/>
    <col min="68" max="69" width="7.92578125" bestFit="1" customWidth="1"/>
    <col min="70" max="70" width="9.42578125" bestFit="1" customWidth="1"/>
    <col min="71" max="71" width="7.92578125" bestFit="1" customWidth="1"/>
    <col min="72" max="72" width="9.42578125" bestFit="1" customWidth="1"/>
    <col min="73" max="77" width="7.92578125" bestFit="1" customWidth="1"/>
    <col min="78" max="79" width="9.42578125" bestFit="1" customWidth="1"/>
    <col min="80" max="89" width="7.92578125" bestFit="1" customWidth="1"/>
    <col min="90" max="90" width="9.42578125" bestFit="1" customWidth="1"/>
    <col min="91" max="101" width="7.92578125" bestFit="1" customWidth="1"/>
    <col min="102" max="102" width="9.42578125" bestFit="1" customWidth="1"/>
    <col min="103" max="136" width="7.92578125" bestFit="1" customWidth="1"/>
    <col min="137" max="137" width="10.640625" bestFit="1" customWidth="1"/>
    <col min="138" max="162" width="3.78515625" bestFit="1" customWidth="1"/>
    <col min="163" max="163" width="10.640625" bestFit="1" customWidth="1"/>
  </cols>
  <sheetData>
    <row r="3" spans="1:2" x14ac:dyDescent="0.45">
      <c r="A3" s="13" t="s">
        <v>335</v>
      </c>
      <c r="B3" t="s">
        <v>338</v>
      </c>
    </row>
    <row r="4" spans="1:2" x14ac:dyDescent="0.45">
      <c r="A4" s="14" t="s">
        <v>13</v>
      </c>
      <c r="B4" s="29">
        <v>887000</v>
      </c>
    </row>
    <row r="5" spans="1:2" x14ac:dyDescent="0.45">
      <c r="A5" s="14" t="s">
        <v>56</v>
      </c>
      <c r="B5" s="29">
        <v>735300</v>
      </c>
    </row>
    <row r="6" spans="1:2" x14ac:dyDescent="0.45">
      <c r="A6" s="14" t="s">
        <v>25</v>
      </c>
      <c r="B6" s="29">
        <v>621700</v>
      </c>
    </row>
    <row r="7" spans="1:2" x14ac:dyDescent="0.45">
      <c r="A7" s="14" t="s">
        <v>22</v>
      </c>
      <c r="B7" s="29">
        <v>735000</v>
      </c>
    </row>
    <row r="8" spans="1:2" x14ac:dyDescent="0.45">
      <c r="A8" s="14" t="s">
        <v>45</v>
      </c>
      <c r="B8" s="29">
        <v>1325200</v>
      </c>
    </row>
    <row r="9" spans="1:2" x14ac:dyDescent="0.45">
      <c r="A9" s="14" t="s">
        <v>18</v>
      </c>
      <c r="B9" s="29">
        <v>750000</v>
      </c>
    </row>
    <row r="10" spans="1:2" x14ac:dyDescent="0.45">
      <c r="A10" s="14" t="s">
        <v>39</v>
      </c>
      <c r="B10" s="29">
        <v>733300</v>
      </c>
    </row>
    <row r="11" spans="1:2" x14ac:dyDescent="0.45">
      <c r="A11" s="14" t="s">
        <v>42</v>
      </c>
      <c r="B11" s="29">
        <v>925000</v>
      </c>
    </row>
    <row r="12" spans="1:2" x14ac:dyDescent="0.45">
      <c r="A12" s="14" t="s">
        <v>30</v>
      </c>
      <c r="B12" s="29">
        <v>1163500</v>
      </c>
    </row>
    <row r="13" spans="1:2" x14ac:dyDescent="0.45">
      <c r="A13" s="14" t="s">
        <v>33</v>
      </c>
      <c r="B13" s="29">
        <v>855200</v>
      </c>
    </row>
    <row r="14" spans="1:2" x14ac:dyDescent="0.45">
      <c r="A14" s="14" t="s">
        <v>336</v>
      </c>
      <c r="B14" s="29">
        <v>8731200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3F0F-DD50-4B91-A898-100050BC1101}">
  <sheetPr>
    <tabColor theme="1" tint="4.9989318521683403E-2"/>
  </sheetPr>
  <dimension ref="A3:B8"/>
  <sheetViews>
    <sheetView workbookViewId="0">
      <selection activeCell="C16" sqref="C16"/>
    </sheetView>
  </sheetViews>
  <sheetFormatPr defaultRowHeight="18.5" x14ac:dyDescent="0.45"/>
  <cols>
    <col min="1" max="1" width="17.5703125" bestFit="1" customWidth="1"/>
    <col min="2" max="2" width="12.0703125" bestFit="1" customWidth="1"/>
    <col min="3" max="4" width="18.140625" bestFit="1" customWidth="1"/>
    <col min="5" max="5" width="10.640625" bestFit="1" customWidth="1"/>
  </cols>
  <sheetData>
    <row r="3" spans="1:2" x14ac:dyDescent="0.45">
      <c r="A3" s="13" t="s">
        <v>335</v>
      </c>
      <c r="B3" t="s">
        <v>338</v>
      </c>
    </row>
    <row r="4" spans="1:2" x14ac:dyDescent="0.45">
      <c r="A4" s="14" t="s">
        <v>12</v>
      </c>
      <c r="B4" s="29">
        <v>2640200</v>
      </c>
    </row>
    <row r="5" spans="1:2" x14ac:dyDescent="0.45">
      <c r="A5" s="14" t="s">
        <v>17</v>
      </c>
      <c r="B5" s="29">
        <v>2092900</v>
      </c>
    </row>
    <row r="6" spans="1:2" x14ac:dyDescent="0.45">
      <c r="A6" s="14" t="s">
        <v>21</v>
      </c>
      <c r="B6" s="29">
        <v>2054000</v>
      </c>
    </row>
    <row r="7" spans="1:2" x14ac:dyDescent="0.45">
      <c r="A7" s="14" t="s">
        <v>29</v>
      </c>
      <c r="B7" s="29">
        <v>1944100</v>
      </c>
    </row>
    <row r="8" spans="1:2" x14ac:dyDescent="0.45">
      <c r="A8" s="14" t="s">
        <v>336</v>
      </c>
      <c r="B8" s="29">
        <v>8731200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D98D-C368-444A-A7C7-527DE62E7719}">
  <sheetPr>
    <tabColor theme="1"/>
  </sheetPr>
  <dimension ref="A3:H17"/>
  <sheetViews>
    <sheetView topLeftCell="A2" workbookViewId="0">
      <selection activeCell="B18" sqref="B18"/>
    </sheetView>
  </sheetViews>
  <sheetFormatPr defaultRowHeight="18.5" x14ac:dyDescent="0.45"/>
  <cols>
    <col min="1" max="1" width="14.85546875" bestFit="1" customWidth="1"/>
    <col min="2" max="2" width="14.28515625" bestFit="1" customWidth="1"/>
    <col min="3" max="3" width="10.5703125" bestFit="1" customWidth="1"/>
    <col min="4" max="4" width="13.0703125" bestFit="1" customWidth="1"/>
    <col min="5" max="5" width="11.140625" bestFit="1" customWidth="1"/>
    <col min="6" max="6" width="15.28515625" bestFit="1" customWidth="1"/>
    <col min="7" max="7" width="12.0703125" bestFit="1" customWidth="1"/>
    <col min="8" max="8" width="11.7109375" bestFit="1" customWidth="1"/>
  </cols>
  <sheetData>
    <row r="3" spans="1:8" x14ac:dyDescent="0.45">
      <c r="A3" s="13" t="s">
        <v>335</v>
      </c>
      <c r="B3" t="s">
        <v>349</v>
      </c>
      <c r="C3" t="s">
        <v>350</v>
      </c>
      <c r="D3" t="s">
        <v>355</v>
      </c>
      <c r="E3" t="s">
        <v>351</v>
      </c>
      <c r="F3" t="s">
        <v>360</v>
      </c>
      <c r="G3" t="s">
        <v>356</v>
      </c>
      <c r="H3" t="s">
        <v>361</v>
      </c>
    </row>
    <row r="4" spans="1:8" x14ac:dyDescent="0.45">
      <c r="A4" s="14" t="s">
        <v>348</v>
      </c>
      <c r="F4" s="30"/>
      <c r="G4" s="31"/>
      <c r="H4" s="25"/>
    </row>
    <row r="5" spans="1:8" x14ac:dyDescent="0.45">
      <c r="A5" s="15" t="s">
        <v>348</v>
      </c>
      <c r="C5" s="17"/>
      <c r="F5" s="30"/>
      <c r="G5" s="31"/>
      <c r="H5" s="25"/>
    </row>
    <row r="6" spans="1:8" x14ac:dyDescent="0.45">
      <c r="A6" s="14" t="s">
        <v>340</v>
      </c>
      <c r="B6">
        <v>10</v>
      </c>
      <c r="C6" s="30">
        <v>730300</v>
      </c>
      <c r="D6">
        <v>176</v>
      </c>
      <c r="E6" s="16">
        <v>37.83</v>
      </c>
      <c r="F6" s="30">
        <v>73030</v>
      </c>
      <c r="G6" s="31">
        <v>85000</v>
      </c>
      <c r="H6" s="30">
        <v>35500</v>
      </c>
    </row>
    <row r="7" spans="1:8" x14ac:dyDescent="0.45">
      <c r="A7" s="14" t="s">
        <v>341</v>
      </c>
      <c r="B7">
        <v>23</v>
      </c>
      <c r="C7" s="30">
        <v>1394800</v>
      </c>
      <c r="D7">
        <v>350</v>
      </c>
      <c r="E7" s="16">
        <v>35.473913043478262</v>
      </c>
      <c r="F7" s="30">
        <v>60643.478260869568</v>
      </c>
      <c r="G7" s="31">
        <v>83200</v>
      </c>
      <c r="H7" s="30">
        <v>33100</v>
      </c>
    </row>
    <row r="8" spans="1:8" x14ac:dyDescent="0.45">
      <c r="A8" s="14" t="s">
        <v>342</v>
      </c>
      <c r="B8">
        <v>29</v>
      </c>
      <c r="C8" s="30">
        <v>1605400</v>
      </c>
      <c r="D8">
        <v>508</v>
      </c>
      <c r="E8" s="16">
        <v>33.58275862068966</v>
      </c>
      <c r="F8" s="30">
        <v>55358.620689655174</v>
      </c>
      <c r="G8" s="31">
        <v>82900</v>
      </c>
      <c r="H8" s="30">
        <v>32600</v>
      </c>
    </row>
    <row r="9" spans="1:8" x14ac:dyDescent="0.45">
      <c r="A9" s="14" t="s">
        <v>343</v>
      </c>
      <c r="B9">
        <v>29</v>
      </c>
      <c r="C9" s="30">
        <v>1583400</v>
      </c>
      <c r="D9">
        <v>455</v>
      </c>
      <c r="E9" s="16">
        <v>35.879310344827587</v>
      </c>
      <c r="F9" s="30">
        <v>54600</v>
      </c>
      <c r="G9" s="31">
        <v>83900</v>
      </c>
      <c r="H9" s="30">
        <v>31100</v>
      </c>
    </row>
    <row r="10" spans="1:8" x14ac:dyDescent="0.45">
      <c r="A10" s="14" t="s">
        <v>344</v>
      </c>
      <c r="B10">
        <v>27</v>
      </c>
      <c r="C10" s="30">
        <v>1412700</v>
      </c>
      <c r="D10">
        <v>463</v>
      </c>
      <c r="E10" s="16">
        <v>34.570370370370362</v>
      </c>
      <c r="F10" s="30">
        <v>52322.222222222219</v>
      </c>
      <c r="G10" s="31">
        <v>79300</v>
      </c>
      <c r="H10" s="30">
        <v>38300</v>
      </c>
    </row>
    <row r="11" spans="1:8" x14ac:dyDescent="0.45">
      <c r="A11" s="14" t="s">
        <v>345</v>
      </c>
      <c r="B11">
        <v>23</v>
      </c>
      <c r="C11" s="30">
        <v>1033600</v>
      </c>
      <c r="D11">
        <v>399</v>
      </c>
      <c r="E11" s="16">
        <v>35.560869565217388</v>
      </c>
      <c r="F11" s="30">
        <v>44939.130434782608</v>
      </c>
      <c r="G11" s="31">
        <v>83600</v>
      </c>
      <c r="H11" s="30">
        <v>28900</v>
      </c>
    </row>
    <row r="12" spans="1:8" x14ac:dyDescent="0.45">
      <c r="A12" s="14" t="s">
        <v>346</v>
      </c>
      <c r="B12">
        <v>20</v>
      </c>
      <c r="C12" s="30">
        <v>971000</v>
      </c>
      <c r="D12">
        <v>292</v>
      </c>
      <c r="E12" s="16">
        <v>35.405000000000008</v>
      </c>
      <c r="F12" s="30">
        <v>48550</v>
      </c>
      <c r="G12" s="31">
        <v>76700</v>
      </c>
      <c r="H12" s="30">
        <v>32500</v>
      </c>
    </row>
    <row r="13" spans="1:8" x14ac:dyDescent="0.45">
      <c r="A13" s="14" t="s">
        <v>336</v>
      </c>
      <c r="B13">
        <v>161</v>
      </c>
      <c r="C13" s="30">
        <v>8731200</v>
      </c>
      <c r="D13">
        <v>2643</v>
      </c>
      <c r="E13" s="16">
        <v>35.204968944099377</v>
      </c>
      <c r="F13" s="30">
        <v>54231.055900621119</v>
      </c>
      <c r="G13" s="31">
        <v>85000</v>
      </c>
      <c r="H13" s="30">
        <v>28900</v>
      </c>
    </row>
    <row r="15" spans="1:8" x14ac:dyDescent="0.45">
      <c r="B15" s="22" t="s">
        <v>349</v>
      </c>
      <c r="C15" s="22" t="s">
        <v>350</v>
      </c>
      <c r="D15" s="22" t="s">
        <v>355</v>
      </c>
      <c r="E15" s="22" t="s">
        <v>351</v>
      </c>
      <c r="F15" s="22" t="s">
        <v>357</v>
      </c>
      <c r="G15" s="22" t="s">
        <v>362</v>
      </c>
      <c r="H15" s="22" t="s">
        <v>358</v>
      </c>
    </row>
    <row r="16" spans="1:8" x14ac:dyDescent="0.45">
      <c r="B16" s="23">
        <f>B13</f>
        <v>161</v>
      </c>
      <c r="C16" s="32">
        <f>C13</f>
        <v>8731200</v>
      </c>
      <c r="D16" s="23">
        <f t="shared" ref="D16:H16" si="0">D13</f>
        <v>2643</v>
      </c>
      <c r="E16" s="24">
        <f t="shared" si="0"/>
        <v>35.204968944099377</v>
      </c>
      <c r="F16" s="32">
        <f>F13</f>
        <v>54231.055900621119</v>
      </c>
      <c r="G16" s="32">
        <f t="shared" si="0"/>
        <v>85000</v>
      </c>
      <c r="H16" s="32">
        <f t="shared" si="0"/>
        <v>28900</v>
      </c>
    </row>
    <row r="17" spans="6:6" x14ac:dyDescent="0.45">
      <c r="F17" s="20"/>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high="1" low="1" xr2:uid="{402675DF-6760-4506-800B-7144AF550837}">
          <x14:colorSeries rgb="FF376092"/>
          <x14:colorNegative rgb="FFD00000"/>
          <x14:colorAxis rgb="FF000000"/>
          <x14:colorMarkers rgb="FFD00000"/>
          <x14:colorFirst rgb="FFD00000"/>
          <x14:colorLast rgb="FFD00000"/>
          <x14:colorHigh theme="9" tint="-0.249977111117893"/>
          <x14:colorLow rgb="FFFF0000"/>
          <x14:sparklines>
            <x14:sparkline>
              <xm:f>'Sparkline chart'!H6:H12</xm:f>
              <xm:sqref>H14</xm:sqref>
            </x14:sparkline>
          </x14:sparklines>
        </x14:sparklineGroup>
        <x14:sparklineGroup displayEmptyCellsAs="gap" markers="1" high="1" first="1" xr2:uid="{724B003C-86B4-41F4-9C13-7512663243A9}">
          <x14:colorSeries rgb="FF376092"/>
          <x14:colorNegative rgb="FFD00000"/>
          <x14:colorAxis rgb="FF000000"/>
          <x14:colorMarkers rgb="FFD00000"/>
          <x14:colorFirst rgb="FFFF0000"/>
          <x14:colorLast rgb="FFD00000"/>
          <x14:colorHigh theme="9" tint="-0.249977111117893"/>
          <x14:colorLow rgb="FFD00000"/>
          <x14:sparklines>
            <x14:sparkline>
              <xm:f>'Sparkline chart'!F6:F12</xm:f>
              <xm:sqref>F14</xm:sqref>
            </x14:sparkline>
          </x14:sparklines>
        </x14:sparklineGroup>
        <x14:sparklineGroup displayEmptyCellsAs="gap" markers="1" high="1" low="1" xr2:uid="{3A789EE8-D9D8-40B4-A683-6131F7E16FB2}">
          <x14:colorSeries rgb="FF376092"/>
          <x14:colorNegative rgb="FFD00000"/>
          <x14:colorAxis rgb="FF000000"/>
          <x14:colorMarkers rgb="FFD00000"/>
          <x14:colorFirst rgb="FFD00000"/>
          <x14:colorLast rgb="FFD00000"/>
          <x14:colorHigh theme="9" tint="-0.249977111117893"/>
          <x14:colorLow rgb="FFFF0000"/>
          <x14:sparklines>
            <x14:sparkline>
              <xm:f>'Sparkline chart'!G6:G12</xm:f>
              <xm:sqref>G14</xm:sqref>
            </x14:sparkline>
          </x14:sparklines>
        </x14:sparklineGroup>
        <x14:sparklineGroup displayEmptyCellsAs="gap" markers="1" high="1" low="1" xr2:uid="{C1425417-EBA5-40EF-8890-7C90080CD8F0}">
          <x14:colorSeries rgb="FF376092"/>
          <x14:colorNegative rgb="FFD00000"/>
          <x14:colorAxis rgb="FF000000"/>
          <x14:colorMarkers rgb="FFD00000"/>
          <x14:colorFirst rgb="FFD00000"/>
          <x14:colorLast rgb="FFD00000"/>
          <x14:colorHigh theme="9" tint="-0.249977111117893"/>
          <x14:colorLow rgb="FFFF0000"/>
          <x14:sparklines>
            <x14:sparkline>
              <xm:f>'Sparkline chart'!E5:E12</xm:f>
              <xm:sqref>E14</xm:sqref>
            </x14:sparkline>
          </x14:sparklines>
        </x14:sparklineGroup>
        <x14:sparklineGroup displayEmptyCellsAs="gap" markers="1" high="1" first="1" xr2:uid="{41DDBD67-A168-4CED-BDDE-29ED1C9C932C}">
          <x14:colorSeries rgb="FF376092"/>
          <x14:colorNegative rgb="FFD00000"/>
          <x14:colorAxis rgb="FF000000"/>
          <x14:colorMarkers rgb="FFD00000"/>
          <x14:colorFirst rgb="FFFF0000"/>
          <x14:colorLast rgb="FFD00000"/>
          <x14:colorHigh theme="9" tint="-0.249977111117893"/>
          <x14:colorLow rgb="FFD00000"/>
          <x14:sparklines>
            <x14:sparkline>
              <xm:f>'Sparkline chart'!D6:D12</xm:f>
              <xm:sqref>D14</xm:sqref>
            </x14:sparkline>
          </x14:sparklines>
        </x14:sparklineGroup>
        <x14:sparklineGroup displayEmptyCellsAs="gap" markers="1" high="1" low="1" xr2:uid="{A3BDF125-5AF4-426B-8756-6DC92BC55406}">
          <x14:colorSeries rgb="FF376092"/>
          <x14:colorNegative rgb="FFD00000"/>
          <x14:colorAxis rgb="FF000000"/>
          <x14:colorMarkers rgb="FFD00000"/>
          <x14:colorFirst rgb="FFD00000"/>
          <x14:colorLast rgb="FFD00000"/>
          <x14:colorHigh theme="9" tint="-0.249977111117893"/>
          <x14:colorLow rgb="FFFF0000"/>
          <x14:sparklines>
            <x14:sparkline>
              <xm:f>'Sparkline chart'!C6:C12</xm:f>
              <xm:sqref>C14</xm:sqref>
            </x14:sparkline>
          </x14:sparklines>
        </x14:sparklineGroup>
        <x14:sparklineGroup displayEmptyCellsAs="gap" markers="1" high="1" low="1" xr2:uid="{98514406-A6DB-4623-A158-9157608F5DA9}">
          <x14:colorSeries theme="4"/>
          <x14:colorNegative rgb="FF0070C0"/>
          <x14:colorAxis rgb="FF000000"/>
          <x14:colorMarkers rgb="FF0070C0"/>
          <x14:colorFirst rgb="FF0070C0"/>
          <x14:colorLast rgb="FF0070C0"/>
          <x14:colorHigh theme="9" tint="-0.249977111117893"/>
          <x14:colorLow rgb="FFFF0000"/>
          <x14:sparklines>
            <x14:sparkline>
              <xm:f>'Sparkline chart'!B5:B12</xm:f>
              <xm:sqref>B14</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7FC8-3243-454C-9A06-863CD83A7CA3}">
  <sheetPr>
    <tabColor theme="0" tint="-0.499984740745262"/>
  </sheetPr>
  <dimension ref="A1:Z37"/>
  <sheetViews>
    <sheetView tabSelected="1" zoomScale="49" zoomScaleNormal="49" zoomScaleSheetLayoutView="36" workbookViewId="0">
      <selection activeCell="Z15" sqref="Z15"/>
    </sheetView>
  </sheetViews>
  <sheetFormatPr defaultRowHeight="18.5" x14ac:dyDescent="0.45"/>
  <cols>
    <col min="1" max="1" width="9.2109375" customWidth="1"/>
  </cols>
  <sheetData>
    <row r="1" spans="1:19" ht="39.5" customHeight="1" thickBot="1" x14ac:dyDescent="1.05">
      <c r="A1" s="34" t="s">
        <v>359</v>
      </c>
      <c r="B1" s="35"/>
      <c r="C1" s="35"/>
      <c r="D1" s="35"/>
      <c r="E1" s="35"/>
      <c r="F1" s="35"/>
      <c r="G1" s="35"/>
      <c r="H1" s="35"/>
      <c r="I1" s="35"/>
      <c r="J1" s="35"/>
      <c r="K1" s="35"/>
      <c r="L1" s="35"/>
      <c r="M1" s="35"/>
      <c r="N1" s="35"/>
      <c r="O1" s="35"/>
      <c r="P1" s="35"/>
      <c r="Q1" s="35"/>
      <c r="R1" s="35"/>
      <c r="S1" s="36"/>
    </row>
    <row r="2" spans="1:19" x14ac:dyDescent="0.45">
      <c r="A2" s="21"/>
      <c r="B2" s="21"/>
      <c r="C2" s="21"/>
      <c r="D2" s="21"/>
      <c r="E2" s="21"/>
      <c r="F2" s="21"/>
      <c r="G2" s="21"/>
      <c r="H2" s="21"/>
      <c r="I2" s="21"/>
      <c r="J2" s="21"/>
      <c r="K2" s="21"/>
      <c r="L2" s="21"/>
      <c r="M2" s="21"/>
      <c r="N2" s="21"/>
      <c r="O2" s="21"/>
      <c r="P2" s="21"/>
      <c r="Q2" s="21"/>
      <c r="R2" s="21"/>
      <c r="S2" s="21"/>
    </row>
    <row r="3" spans="1:19" x14ac:dyDescent="0.45">
      <c r="A3" s="21"/>
      <c r="B3" s="21"/>
      <c r="C3" s="21"/>
      <c r="D3" s="21"/>
      <c r="E3" s="21"/>
      <c r="F3" s="21"/>
      <c r="G3" s="21"/>
      <c r="H3" s="21"/>
      <c r="I3" s="21"/>
      <c r="J3" s="21"/>
      <c r="K3" s="21"/>
      <c r="L3" s="21"/>
      <c r="M3" s="21"/>
      <c r="N3" s="21"/>
      <c r="O3" s="21"/>
      <c r="P3" s="21"/>
      <c r="Q3" s="21"/>
      <c r="R3" s="21"/>
      <c r="S3" s="21"/>
    </row>
    <row r="4" spans="1:19" x14ac:dyDescent="0.45">
      <c r="A4" s="21"/>
      <c r="B4" s="21"/>
      <c r="C4" s="21"/>
      <c r="D4" s="21"/>
      <c r="E4" s="21"/>
      <c r="F4" s="21"/>
      <c r="G4" s="21"/>
      <c r="H4" s="21"/>
      <c r="I4" s="21"/>
      <c r="J4" s="21"/>
      <c r="K4" s="21"/>
      <c r="L4" s="21"/>
      <c r="M4" s="21"/>
      <c r="N4" s="21"/>
      <c r="O4" s="21"/>
      <c r="P4" s="21"/>
      <c r="Q4" s="21"/>
      <c r="R4" s="21"/>
      <c r="S4" s="21"/>
    </row>
    <row r="5" spans="1:19" x14ac:dyDescent="0.45">
      <c r="A5" s="21"/>
      <c r="B5" s="21"/>
      <c r="C5" s="21"/>
      <c r="D5" s="21"/>
      <c r="E5" s="21"/>
      <c r="F5" s="21"/>
      <c r="G5" s="21"/>
      <c r="H5" s="21"/>
      <c r="I5" s="21"/>
      <c r="J5" s="21"/>
      <c r="K5" s="21"/>
      <c r="L5" s="21"/>
      <c r="M5" s="21"/>
      <c r="N5" s="21"/>
      <c r="O5" s="21"/>
      <c r="P5" s="21"/>
      <c r="Q5" s="21"/>
      <c r="R5" s="21"/>
      <c r="S5" s="21"/>
    </row>
    <row r="6" spans="1:19" x14ac:dyDescent="0.45">
      <c r="A6" s="21"/>
      <c r="B6" s="21"/>
      <c r="C6" s="21"/>
      <c r="D6" s="21"/>
      <c r="E6" s="21"/>
      <c r="F6" s="21"/>
      <c r="G6" s="21"/>
      <c r="H6" s="21"/>
      <c r="I6" s="21"/>
      <c r="J6" s="21"/>
      <c r="K6" s="21"/>
      <c r="L6" s="21"/>
      <c r="M6" s="21"/>
      <c r="N6" s="21"/>
      <c r="O6" s="21"/>
      <c r="P6" s="21"/>
      <c r="Q6" s="21"/>
      <c r="R6" s="21"/>
      <c r="S6" s="21"/>
    </row>
    <row r="7" spans="1:19" x14ac:dyDescent="0.45">
      <c r="A7" s="21"/>
      <c r="B7" s="21"/>
      <c r="C7" s="21"/>
      <c r="D7" s="21"/>
      <c r="E7" s="21"/>
      <c r="F7" s="21"/>
      <c r="G7" s="21"/>
      <c r="H7" s="21"/>
      <c r="I7" s="21"/>
      <c r="J7" s="21"/>
      <c r="K7" s="21"/>
      <c r="L7" s="21"/>
      <c r="M7" s="21"/>
      <c r="N7" s="21"/>
      <c r="O7" s="21"/>
      <c r="P7" s="21"/>
      <c r="Q7" s="21"/>
      <c r="R7" s="21"/>
      <c r="S7" s="21"/>
    </row>
    <row r="8" spans="1:19" x14ac:dyDescent="0.45">
      <c r="A8" s="21"/>
      <c r="B8" s="21"/>
      <c r="C8" s="21"/>
      <c r="D8" s="21"/>
      <c r="E8" s="21"/>
      <c r="F8" s="21"/>
      <c r="G8" s="21"/>
      <c r="H8" s="21"/>
      <c r="I8" s="21"/>
      <c r="J8" s="21"/>
      <c r="K8" s="21"/>
      <c r="L8" s="21"/>
      <c r="M8" s="21"/>
      <c r="N8" s="21"/>
      <c r="O8" s="21"/>
      <c r="P8" s="21"/>
      <c r="Q8" s="21"/>
      <c r="R8" s="21"/>
      <c r="S8" s="21"/>
    </row>
    <row r="9" spans="1:19" x14ac:dyDescent="0.45">
      <c r="A9" s="21"/>
      <c r="B9" s="21"/>
      <c r="C9" s="21"/>
      <c r="D9" s="21"/>
      <c r="E9" s="21"/>
      <c r="F9" s="21"/>
      <c r="G9" s="21"/>
      <c r="H9" s="21"/>
      <c r="I9" s="21"/>
      <c r="J9" s="21"/>
      <c r="K9" s="21"/>
      <c r="L9" s="21"/>
      <c r="M9" s="21"/>
      <c r="N9" s="21"/>
      <c r="O9" s="21"/>
      <c r="P9" s="21"/>
      <c r="Q9" s="21"/>
      <c r="R9" s="21"/>
      <c r="S9" s="21"/>
    </row>
    <row r="10" spans="1:19" x14ac:dyDescent="0.45">
      <c r="A10" s="21"/>
      <c r="B10" s="21"/>
      <c r="C10" s="21"/>
      <c r="D10" s="21"/>
      <c r="E10" s="21"/>
      <c r="F10" s="21"/>
      <c r="G10" s="21"/>
      <c r="H10" s="21"/>
      <c r="I10" s="21"/>
      <c r="J10" s="21"/>
      <c r="K10" s="21"/>
      <c r="L10" s="21"/>
      <c r="M10" s="21"/>
      <c r="N10" s="21"/>
      <c r="O10" s="21"/>
      <c r="P10" s="21"/>
      <c r="Q10" s="21"/>
      <c r="R10" s="21"/>
      <c r="S10" s="21"/>
    </row>
    <row r="11" spans="1:19" x14ac:dyDescent="0.45">
      <c r="A11" s="21"/>
      <c r="B11" s="21"/>
      <c r="C11" s="21"/>
      <c r="D11" s="21"/>
      <c r="E11" s="21"/>
      <c r="F11" s="21"/>
      <c r="G11" s="21"/>
      <c r="H11" s="21"/>
      <c r="I11" s="21"/>
      <c r="J11" s="21"/>
      <c r="K11" s="21"/>
      <c r="L11" s="21"/>
      <c r="M11" s="21"/>
      <c r="N11" s="21"/>
      <c r="O11" s="21"/>
      <c r="P11" s="21"/>
      <c r="Q11" s="21"/>
      <c r="R11" s="21"/>
      <c r="S11" s="21"/>
    </row>
    <row r="12" spans="1:19" x14ac:dyDescent="0.45">
      <c r="A12" s="21"/>
      <c r="B12" s="21"/>
      <c r="C12" s="21"/>
      <c r="D12" s="21"/>
      <c r="E12" s="21"/>
      <c r="F12" s="21"/>
      <c r="G12" s="21"/>
      <c r="H12" s="21"/>
      <c r="I12" s="21"/>
      <c r="J12" s="21"/>
      <c r="K12" s="21"/>
      <c r="L12" s="21"/>
      <c r="M12" s="21"/>
      <c r="N12" s="21"/>
      <c r="O12" s="21"/>
      <c r="P12" s="21"/>
      <c r="Q12" s="21"/>
      <c r="R12" s="21"/>
      <c r="S12" s="21"/>
    </row>
    <row r="13" spans="1:19" x14ac:dyDescent="0.45">
      <c r="A13" s="21"/>
      <c r="B13" s="21"/>
      <c r="C13" s="21"/>
      <c r="D13" s="21"/>
      <c r="E13" s="21"/>
      <c r="F13" s="21"/>
      <c r="G13" s="21"/>
      <c r="H13" s="21"/>
      <c r="I13" s="21"/>
      <c r="J13" s="21"/>
      <c r="K13" s="21"/>
      <c r="L13" s="21"/>
      <c r="M13" s="21"/>
      <c r="N13" s="21"/>
      <c r="O13" s="21"/>
      <c r="P13" s="21"/>
      <c r="Q13" s="21"/>
      <c r="R13" s="21"/>
      <c r="S13" s="21"/>
    </row>
    <row r="14" spans="1:19" x14ac:dyDescent="0.45">
      <c r="A14" s="21"/>
      <c r="B14" s="21"/>
      <c r="C14" s="21"/>
      <c r="D14" s="21"/>
      <c r="E14" s="21"/>
      <c r="F14" s="21"/>
      <c r="G14" s="21"/>
      <c r="H14" s="21"/>
      <c r="I14" s="21"/>
      <c r="J14" s="21"/>
      <c r="K14" s="21"/>
      <c r="L14" s="21"/>
      <c r="M14" s="21"/>
      <c r="N14" s="21"/>
      <c r="O14" s="21"/>
      <c r="P14" s="21"/>
      <c r="Q14" s="21"/>
      <c r="R14" s="21"/>
      <c r="S14" s="21"/>
    </row>
    <row r="15" spans="1:19" x14ac:dyDescent="0.45">
      <c r="A15" s="21"/>
      <c r="B15" s="21"/>
      <c r="C15" s="21"/>
      <c r="D15" s="21"/>
      <c r="E15" s="21"/>
      <c r="F15" s="21"/>
      <c r="G15" s="21"/>
      <c r="H15" s="21"/>
      <c r="I15" s="21"/>
      <c r="J15" s="21"/>
      <c r="K15" s="21"/>
      <c r="L15" s="21"/>
      <c r="M15" s="21"/>
      <c r="N15" s="21"/>
      <c r="O15" s="21"/>
      <c r="P15" s="21"/>
      <c r="Q15" s="21"/>
      <c r="R15" s="21"/>
      <c r="S15" s="21"/>
    </row>
    <row r="16" spans="1:19" x14ac:dyDescent="0.45">
      <c r="A16" s="21"/>
      <c r="B16" s="21"/>
      <c r="C16" s="21"/>
      <c r="D16" s="21"/>
      <c r="E16" s="21"/>
      <c r="F16" s="21"/>
      <c r="G16" s="21"/>
      <c r="H16" s="21"/>
      <c r="I16" s="21"/>
      <c r="J16" s="21"/>
      <c r="K16" s="21"/>
      <c r="L16" s="21"/>
      <c r="M16" s="21"/>
      <c r="N16" s="21"/>
      <c r="O16" s="21"/>
      <c r="P16" s="21"/>
      <c r="Q16" s="21"/>
      <c r="R16" s="21"/>
      <c r="S16" s="21"/>
    </row>
    <row r="17" spans="1:26" x14ac:dyDescent="0.45">
      <c r="A17" s="21"/>
      <c r="B17" s="21"/>
      <c r="C17" s="21"/>
      <c r="D17" s="21"/>
      <c r="E17" s="21"/>
      <c r="F17" s="21"/>
      <c r="G17" s="21"/>
      <c r="H17" s="21"/>
      <c r="I17" s="21"/>
      <c r="J17" s="21"/>
      <c r="K17" s="21"/>
      <c r="L17" s="21"/>
      <c r="M17" s="21"/>
      <c r="N17" s="21"/>
      <c r="O17" s="21"/>
      <c r="P17" s="21"/>
      <c r="Q17" s="21"/>
      <c r="R17" s="21"/>
      <c r="S17" s="21"/>
    </row>
    <row r="18" spans="1:26" x14ac:dyDescent="0.45">
      <c r="A18" s="21"/>
      <c r="B18" s="21"/>
      <c r="C18" s="21"/>
      <c r="D18" s="21"/>
      <c r="E18" s="21"/>
      <c r="F18" s="21"/>
      <c r="G18" s="21"/>
      <c r="H18" s="21"/>
      <c r="I18" s="21"/>
      <c r="J18" s="21"/>
      <c r="K18" s="21"/>
      <c r="L18" s="21"/>
      <c r="M18" s="21"/>
      <c r="N18" s="21"/>
      <c r="O18" s="21"/>
      <c r="P18" s="21"/>
      <c r="Q18" s="21"/>
      <c r="R18" s="21"/>
      <c r="S18" s="21"/>
    </row>
    <row r="19" spans="1:26" x14ac:dyDescent="0.45">
      <c r="A19" s="21"/>
      <c r="B19" s="21"/>
      <c r="C19" s="21"/>
      <c r="D19" s="21"/>
      <c r="E19" s="21"/>
      <c r="F19" s="21"/>
      <c r="G19" s="21"/>
      <c r="H19" s="21"/>
      <c r="I19" s="21"/>
      <c r="J19" s="21"/>
      <c r="K19" s="21"/>
      <c r="L19" s="21"/>
      <c r="M19" s="21"/>
      <c r="N19" s="21"/>
      <c r="O19" s="21"/>
      <c r="P19" s="21"/>
      <c r="Q19" s="21"/>
      <c r="R19" s="21"/>
      <c r="S19" s="21"/>
    </row>
    <row r="20" spans="1:26" x14ac:dyDescent="0.45">
      <c r="A20" s="21"/>
      <c r="B20" s="21"/>
      <c r="C20" s="21"/>
      <c r="D20" s="21"/>
      <c r="E20" s="21"/>
      <c r="F20" s="21"/>
      <c r="G20" s="21"/>
      <c r="H20" s="21"/>
      <c r="I20" s="21"/>
      <c r="J20" s="21"/>
      <c r="K20" s="21"/>
      <c r="L20" s="21"/>
      <c r="M20" s="21"/>
      <c r="N20" s="21"/>
      <c r="O20" s="21"/>
      <c r="P20" s="21"/>
      <c r="Q20" s="21"/>
      <c r="R20" s="21"/>
      <c r="S20" s="21"/>
    </row>
    <row r="21" spans="1:26" x14ac:dyDescent="0.45">
      <c r="A21" s="21"/>
      <c r="B21" s="21"/>
      <c r="C21" s="21"/>
      <c r="D21" s="21"/>
      <c r="E21" s="21"/>
      <c r="F21" s="21"/>
      <c r="G21" s="21"/>
      <c r="H21" s="21"/>
      <c r="I21" s="21"/>
      <c r="J21" s="21"/>
      <c r="K21" s="21"/>
      <c r="L21" s="21"/>
      <c r="M21" s="21"/>
      <c r="N21" s="21"/>
      <c r="O21" s="21"/>
      <c r="P21" s="21"/>
      <c r="Q21" s="21"/>
      <c r="R21" s="21"/>
      <c r="S21" s="21"/>
    </row>
    <row r="22" spans="1:26" x14ac:dyDescent="0.45">
      <c r="A22" s="21"/>
      <c r="B22" s="21"/>
      <c r="C22" s="21"/>
      <c r="D22" s="21"/>
      <c r="E22" s="21"/>
      <c r="F22" s="21"/>
      <c r="G22" s="21"/>
      <c r="H22" s="21"/>
      <c r="I22" s="21"/>
      <c r="J22" s="21"/>
      <c r="K22" s="21"/>
      <c r="L22" s="21"/>
      <c r="M22" s="21"/>
      <c r="N22" s="21"/>
      <c r="O22" s="21"/>
      <c r="P22" s="21"/>
      <c r="Q22" s="21"/>
      <c r="R22" s="21"/>
      <c r="S22" s="21"/>
    </row>
    <row r="23" spans="1:26" x14ac:dyDescent="0.45">
      <c r="A23" s="21"/>
      <c r="B23" s="21"/>
      <c r="C23" s="21"/>
      <c r="D23" s="21"/>
      <c r="E23" s="21"/>
      <c r="F23" s="21"/>
      <c r="G23" s="21"/>
      <c r="H23" s="21"/>
      <c r="I23" s="21"/>
      <c r="J23" s="21"/>
      <c r="K23" s="21"/>
      <c r="L23" s="21"/>
      <c r="M23" s="21"/>
      <c r="N23" s="21"/>
      <c r="O23" s="21"/>
      <c r="P23" s="21"/>
      <c r="Q23" s="21"/>
      <c r="R23" s="21"/>
      <c r="S23" s="21"/>
    </row>
    <row r="24" spans="1:26" x14ac:dyDescent="0.45">
      <c r="A24" s="21"/>
      <c r="B24" s="21"/>
      <c r="C24" s="21"/>
      <c r="D24" s="21"/>
      <c r="E24" s="21"/>
      <c r="F24" s="21"/>
      <c r="G24" s="21"/>
      <c r="H24" s="21"/>
      <c r="I24" s="21"/>
      <c r="J24" s="21"/>
      <c r="K24" s="21"/>
      <c r="L24" s="21"/>
      <c r="M24" s="21"/>
      <c r="N24" s="21"/>
      <c r="O24" s="21"/>
      <c r="P24" s="21"/>
      <c r="Q24" s="21"/>
      <c r="R24" s="21"/>
      <c r="S24" s="21"/>
      <c r="Z24" s="22"/>
    </row>
    <row r="25" spans="1:26" x14ac:dyDescent="0.45">
      <c r="A25" s="21"/>
      <c r="B25" s="21"/>
      <c r="C25" s="21"/>
      <c r="D25" s="21"/>
      <c r="E25" s="21"/>
      <c r="F25" s="21"/>
      <c r="G25" s="21"/>
      <c r="H25" s="21"/>
      <c r="I25" s="21"/>
      <c r="J25" s="21"/>
      <c r="K25" s="21"/>
      <c r="L25" s="21"/>
      <c r="M25" s="21"/>
      <c r="N25" s="21"/>
      <c r="O25" s="21"/>
      <c r="P25" s="21"/>
      <c r="Q25" s="21"/>
      <c r="R25" s="21"/>
      <c r="S25" s="21"/>
      <c r="Z25" s="26"/>
    </row>
    <row r="26" spans="1:26" x14ac:dyDescent="0.45">
      <c r="A26" s="21"/>
      <c r="B26" s="21"/>
      <c r="C26" s="21"/>
      <c r="D26" s="21"/>
      <c r="E26" s="21"/>
      <c r="F26" s="21"/>
      <c r="G26" s="21"/>
      <c r="H26" s="21"/>
      <c r="I26" s="21"/>
      <c r="J26" s="21"/>
      <c r="K26" s="21"/>
      <c r="L26" s="21"/>
      <c r="M26" s="21"/>
      <c r="N26" s="21"/>
      <c r="O26" s="21"/>
      <c r="P26" s="21"/>
      <c r="Q26" s="21"/>
      <c r="R26" s="21"/>
      <c r="S26" s="21"/>
    </row>
    <row r="27" spans="1:26" x14ac:dyDescent="0.45">
      <c r="A27" s="21"/>
      <c r="B27" s="21"/>
      <c r="C27" s="21"/>
      <c r="D27" s="21"/>
      <c r="E27" s="21"/>
      <c r="F27" s="21"/>
      <c r="G27" s="21"/>
      <c r="H27" s="21"/>
      <c r="I27" s="21"/>
      <c r="J27" s="21"/>
      <c r="K27" s="21"/>
      <c r="L27" s="21"/>
      <c r="M27" s="21"/>
      <c r="N27" s="21"/>
      <c r="O27" s="21"/>
      <c r="P27" s="21"/>
      <c r="Q27" s="21"/>
      <c r="R27" s="21"/>
      <c r="S27" s="21"/>
    </row>
    <row r="28" spans="1:26" x14ac:dyDescent="0.45">
      <c r="A28" s="21"/>
      <c r="B28" s="21"/>
      <c r="C28" s="21"/>
      <c r="D28" s="21"/>
      <c r="E28" s="21"/>
      <c r="F28" s="21"/>
      <c r="G28" s="21"/>
      <c r="H28" s="21"/>
      <c r="I28" s="21"/>
      <c r="J28" s="21"/>
      <c r="K28" s="21"/>
      <c r="L28" s="21"/>
      <c r="M28" s="21"/>
      <c r="N28" s="21"/>
      <c r="O28" s="21"/>
      <c r="P28" s="21"/>
      <c r="Q28" s="21"/>
      <c r="R28" s="21"/>
      <c r="S28" s="21"/>
    </row>
    <row r="29" spans="1:26" x14ac:dyDescent="0.45">
      <c r="A29" s="21"/>
      <c r="B29" s="21"/>
      <c r="C29" s="21"/>
      <c r="D29" s="21"/>
      <c r="E29" s="21"/>
      <c r="F29" s="21"/>
      <c r="G29" s="21"/>
      <c r="H29" s="21"/>
      <c r="I29" s="21"/>
      <c r="J29" s="21"/>
      <c r="K29" s="21"/>
      <c r="L29" s="21"/>
      <c r="M29" s="21"/>
      <c r="N29" s="21"/>
      <c r="O29" s="21"/>
      <c r="P29" s="21"/>
      <c r="Q29" s="21"/>
      <c r="R29" s="21"/>
      <c r="S29" s="21"/>
    </row>
    <row r="30" spans="1:26" x14ac:dyDescent="0.45">
      <c r="A30" s="21"/>
      <c r="B30" s="21"/>
      <c r="C30" s="21"/>
      <c r="D30" s="21"/>
      <c r="E30" s="21"/>
      <c r="F30" s="21"/>
      <c r="G30" s="21"/>
      <c r="H30" s="21"/>
      <c r="I30" s="21"/>
      <c r="J30" s="21"/>
      <c r="K30" s="21"/>
      <c r="L30" s="21"/>
      <c r="M30" s="21"/>
      <c r="N30" s="21"/>
      <c r="O30" s="21"/>
      <c r="P30" s="21"/>
      <c r="Q30" s="21"/>
      <c r="R30" s="21"/>
      <c r="S30" s="21"/>
    </row>
    <row r="31" spans="1:26" x14ac:dyDescent="0.45">
      <c r="A31" s="21"/>
      <c r="B31" s="21"/>
      <c r="C31" s="21"/>
      <c r="D31" s="21"/>
      <c r="E31" s="21"/>
      <c r="F31" s="21"/>
      <c r="G31" s="21"/>
      <c r="H31" s="21"/>
      <c r="I31" s="21"/>
      <c r="J31" s="21"/>
      <c r="K31" s="21"/>
      <c r="L31" s="21"/>
      <c r="M31" s="21"/>
      <c r="N31" s="21"/>
      <c r="O31" s="21"/>
      <c r="P31" s="21"/>
      <c r="Q31" s="21"/>
      <c r="R31" s="21"/>
      <c r="S31" s="21"/>
    </row>
    <row r="32" spans="1:26" x14ac:dyDescent="0.45">
      <c r="A32" s="21"/>
      <c r="B32" s="21"/>
      <c r="C32" s="21"/>
      <c r="D32" s="21"/>
      <c r="E32" s="21"/>
      <c r="F32" s="21"/>
      <c r="G32" s="21"/>
      <c r="H32" s="21"/>
      <c r="I32" s="21"/>
      <c r="J32" s="21"/>
      <c r="K32" s="21"/>
      <c r="L32" s="21"/>
      <c r="M32" s="21"/>
      <c r="N32" s="21"/>
      <c r="O32" s="21"/>
      <c r="P32" s="21"/>
      <c r="Q32" s="21"/>
      <c r="R32" s="21"/>
      <c r="S32" s="21"/>
    </row>
    <row r="33" spans="1:19" x14ac:dyDescent="0.45">
      <c r="A33" s="21"/>
      <c r="B33" s="21"/>
      <c r="C33" s="21"/>
      <c r="D33" s="21"/>
      <c r="E33" s="21"/>
      <c r="F33" s="21"/>
      <c r="G33" s="21"/>
      <c r="H33" s="21"/>
      <c r="I33" s="21"/>
      <c r="J33" s="21"/>
      <c r="K33" s="21"/>
      <c r="L33" s="21"/>
      <c r="M33" s="21"/>
      <c r="N33" s="21"/>
      <c r="O33" s="21"/>
      <c r="P33" s="21"/>
      <c r="Q33" s="21"/>
      <c r="R33" s="21"/>
      <c r="S33" s="21"/>
    </row>
    <row r="34" spans="1:19" x14ac:dyDescent="0.45">
      <c r="A34" s="21"/>
      <c r="B34" s="21"/>
      <c r="C34" s="21"/>
      <c r="D34" s="21"/>
      <c r="E34" s="21"/>
      <c r="F34" s="21"/>
      <c r="G34" s="21"/>
      <c r="H34" s="21"/>
      <c r="I34" s="21"/>
      <c r="J34" s="21"/>
      <c r="K34" s="21"/>
      <c r="L34" s="21"/>
      <c r="M34" s="21"/>
      <c r="N34" s="21"/>
      <c r="O34" s="21"/>
      <c r="P34" s="21"/>
      <c r="Q34" s="21"/>
      <c r="R34" s="21"/>
      <c r="S34" s="21"/>
    </row>
    <row r="35" spans="1:19" x14ac:dyDescent="0.45">
      <c r="A35" s="21"/>
      <c r="B35" s="21"/>
      <c r="C35" s="21"/>
      <c r="D35" s="21"/>
      <c r="E35" s="21"/>
      <c r="F35" s="21"/>
      <c r="G35" s="21"/>
      <c r="H35" s="21"/>
      <c r="I35" s="21"/>
      <c r="J35" s="21"/>
      <c r="K35" s="21"/>
      <c r="L35" s="21"/>
      <c r="M35" s="21"/>
      <c r="N35" s="21"/>
      <c r="O35" s="21"/>
      <c r="P35" s="21"/>
      <c r="Q35" s="21"/>
      <c r="R35" s="21"/>
      <c r="S35" s="21"/>
    </row>
    <row r="36" spans="1:19" x14ac:dyDescent="0.45">
      <c r="A36" s="21"/>
      <c r="B36" s="21"/>
      <c r="C36" s="21"/>
      <c r="D36" s="21"/>
      <c r="E36" s="21"/>
      <c r="F36" s="21"/>
      <c r="G36" s="21"/>
      <c r="H36" s="21"/>
      <c r="I36" s="21"/>
      <c r="J36" s="21"/>
      <c r="K36" s="21"/>
      <c r="L36" s="21"/>
      <c r="M36" s="21"/>
      <c r="N36" s="21"/>
      <c r="O36" s="21"/>
      <c r="P36" s="21"/>
      <c r="Q36" s="21"/>
      <c r="R36" s="21"/>
      <c r="S36" s="21"/>
    </row>
    <row r="37" spans="1:19" x14ac:dyDescent="0.45">
      <c r="A37" s="21"/>
      <c r="B37" s="21"/>
      <c r="C37" s="21"/>
      <c r="D37" s="21"/>
      <c r="E37" s="21"/>
      <c r="F37" s="21"/>
      <c r="G37" s="21"/>
      <c r="H37" s="21"/>
      <c r="I37" s="21"/>
      <c r="J37" s="21"/>
      <c r="K37" s="21"/>
      <c r="L37" s="21"/>
      <c r="M37" s="21"/>
      <c r="N37" s="21"/>
      <c r="O37" s="21"/>
      <c r="P37" s="21"/>
      <c r="Q37" s="21"/>
      <c r="R37" s="21"/>
      <c r="S37" s="21"/>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Job tittle wise salary</vt:lpstr>
      <vt:lpstr>Employee count bassed on DOJ</vt:lpstr>
      <vt:lpstr>Top 10 Employee leave balance</vt:lpstr>
      <vt:lpstr>Gender wise salary Distribution</vt:lpstr>
      <vt:lpstr>Top Earners</vt:lpstr>
      <vt:lpstr>Qualification vs Salary</vt:lpstr>
      <vt:lpstr>Sparkline chart</vt:lpstr>
      <vt:lpstr>HR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Kanika Jain</cp:lastModifiedBy>
  <dcterms:created xsi:type="dcterms:W3CDTF">2023-07-18T23:56:20Z</dcterms:created>
  <dcterms:modified xsi:type="dcterms:W3CDTF">2026-03-26T16:05:10Z</dcterms:modified>
</cp:coreProperties>
</file>